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KỲ 3\SQL\PROJECT\TEAM_X_FirmDataHub\FirmDataHub\data\"/>
    </mc:Choice>
  </mc:AlternateContent>
  <xr:revisionPtr revIDLastSave="0" documentId="13_ncr:1_{1615DA28-D72C-4EE8-A1F5-34B0B49369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2" i="1" l="1"/>
  <c r="Q102" i="1"/>
  <c r="T101" i="1"/>
  <c r="Q101" i="1"/>
  <c r="I101" i="1"/>
  <c r="T100" i="1"/>
  <c r="Q100" i="1"/>
  <c r="T99" i="1"/>
  <c r="Q99" i="1"/>
  <c r="T98" i="1"/>
  <c r="Q98" i="1"/>
  <c r="H47" i="1"/>
  <c r="H46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tc={E4BD97C7-398D-4F9B-BAA1-75119F1884FD}</author>
  </authors>
  <commentList>
    <comment ref="A1" authorId="0" shapeId="0" xr:uid="{E4BD97C7-398D-4F9B-BAA1-75119F1884FD}">
      <text>
        <t>[Threaded comment]
Your version of Excel allows you to read this threaded comment; however, any edits to it will get removed if the file is opened in a newer version of Excel. Learn more: https://go.microsoft.com/fwlink/?linkid=870924
Comment:
    Sai do sai số cổ phiếu đang phát hành</t>
      </text>
    </comment>
  </commentList>
</comments>
</file>

<file path=xl/sharedStrings.xml><?xml version="1.0" encoding="utf-8"?>
<sst xmlns="http://schemas.openxmlformats.org/spreadsheetml/2006/main" count="463" uniqueCount="94">
  <si>
    <t>No.</t>
  </si>
  <si>
    <t>Company</t>
  </si>
  <si>
    <t>StockCode</t>
  </si>
  <si>
    <t>YearEnd</t>
  </si>
  <si>
    <t>Industry</t>
  </si>
  <si>
    <t>Managerial/Inside ownership</t>
  </si>
  <si>
    <t>State ownership</t>
  </si>
  <si>
    <t>Institutional ownership</t>
  </si>
  <si>
    <t>Foreign ownership</t>
  </si>
  <si>
    <t>Total share outstanding</t>
  </si>
  <si>
    <t>Total sales revenue</t>
  </si>
  <si>
    <t>Net sales revenue</t>
  </si>
  <si>
    <t>Total assets</t>
  </si>
  <si>
    <t>Selling expenses</t>
  </si>
  <si>
    <t>General and administrative expenditure</t>
  </si>
  <si>
    <t>Value of intangible assets</t>
  </si>
  <si>
    <t>Manufacturing overhead (Indirect cost)</t>
  </si>
  <si>
    <t>Net operating income</t>
  </si>
  <si>
    <t>Consumption of raw material</t>
  </si>
  <si>
    <t>Merchandise purchase of the year</t>
  </si>
  <si>
    <t>Work-in-progess goods purchase</t>
  </si>
  <si>
    <t>Outside manufacturing expenses</t>
  </si>
  <si>
    <t>Production cost</t>
  </si>
  <si>
    <t>RD_ex</t>
  </si>
  <si>
    <t>Product innovation</t>
  </si>
  <si>
    <t>Process innovation</t>
  </si>
  <si>
    <t>Net Income</t>
  </si>
  <si>
    <t>Total shareholders' equity</t>
  </si>
  <si>
    <t>Market value of equity</t>
  </si>
  <si>
    <t>Total liabilities</t>
  </si>
  <si>
    <t>Net cash from operating activities</t>
  </si>
  <si>
    <t>Capital expenditure</t>
  </si>
  <si>
    <t>Cash flows from investing activities</t>
  </si>
  <si>
    <t>Cash and cash equivalent</t>
  </si>
  <si>
    <t>Long-term debt</t>
  </si>
  <si>
    <t>Current assets</t>
  </si>
  <si>
    <t>Current liabiltiies</t>
  </si>
  <si>
    <t>Growth ratio</t>
  </si>
  <si>
    <t>Total inventory</t>
  </si>
  <si>
    <t>Divident payment</t>
  </si>
  <si>
    <t>EPS</t>
  </si>
  <si>
    <t>Number of employees</t>
  </si>
  <si>
    <t>Net plant, property and equipment</t>
  </si>
  <si>
    <t>Firm age</t>
  </si>
  <si>
    <t>ratio 0-1</t>
  </si>
  <si>
    <t>shares</t>
  </si>
  <si>
    <t>bil.VND</t>
  </si>
  <si>
    <t>0 or 1</t>
  </si>
  <si>
    <t>ratio</t>
  </si>
  <si>
    <t>VND/share</t>
  </si>
  <si>
    <t>persons</t>
  </si>
  <si>
    <t>years</t>
  </si>
  <si>
    <t>CTCP Tap doan ASG</t>
  </si>
  <si>
    <t>ASG</t>
  </si>
  <si>
    <t>NULL</t>
  </si>
  <si>
    <t>CTCP Camimex Group</t>
  </si>
  <si>
    <t>CMX</t>
  </si>
  <si>
    <t>CTCP Everpia</t>
  </si>
  <si>
    <t>EVE</t>
  </si>
  <si>
    <t>CTCP Dai ly Van tai SAFI</t>
  </si>
  <si>
    <t>SFI</t>
  </si>
  <si>
    <t>CTCP Dau tu va XD 3-2</t>
  </si>
  <si>
    <t>C32</t>
  </si>
  <si>
    <t>CTCP City Auto</t>
  </si>
  <si>
    <t>CTF</t>
  </si>
  <si>
    <t>CTCP Det may Hoa Tho</t>
  </si>
  <si>
    <t>HTG</t>
  </si>
  <si>
    <t>CTCP Quoc te Son Ha</t>
  </si>
  <si>
    <t>SHI</t>
  </si>
  <si>
    <t>CTCP Lam nong san Yen Bai</t>
  </si>
  <si>
    <t>CAP</t>
  </si>
  <si>
    <t>CTCP Hoa An</t>
  </si>
  <si>
    <t>DHA</t>
  </si>
  <si>
    <t>CTCP Bao bi va In Nong Nghiep</t>
  </si>
  <si>
    <t>INN</t>
  </si>
  <si>
    <t>CTCP Dau tu Thuong mai SMC</t>
  </si>
  <si>
    <t>SMC</t>
  </si>
  <si>
    <t>CTCP Thuoc la Cat Loi</t>
  </si>
  <si>
    <t>CLC</t>
  </si>
  <si>
    <t>CTCP DNP Holding</t>
  </si>
  <si>
    <t>DNP</t>
  </si>
  <si>
    <t>CTCP Khoang san Binh Duong</t>
  </si>
  <si>
    <t>KSB</t>
  </si>
  <si>
    <t>CTCP Khu trung Viet Nam</t>
  </si>
  <si>
    <t>VFG</t>
  </si>
  <si>
    <t>CTCP Cang Cat Lai</t>
  </si>
  <si>
    <t>CLL</t>
  </si>
  <si>
    <t>CTCP Cao su Dong Phu</t>
  </si>
  <si>
    <t>DPR</t>
  </si>
  <si>
    <t>CTCP Da Nui Nho</t>
  </si>
  <si>
    <t>NNC</t>
  </si>
  <si>
    <t>CTCP Ben xe Mien Tay</t>
  </si>
  <si>
    <t>WCS</t>
  </si>
  <si>
    <t xml:space="preserve">NULL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</si>
</sst>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2"/>
      <color rgb="FFFFFFFF"/>
      <name val="Times New Roman"/>
      <family val="1"/>
    </font>
    <font>
      <i/>
      <sz val="12"/>
      <color rgb="FF404040"/>
      <name val="Times New Roman"/>
      <family val="1"/>
    </font>
    <font>
      <sz val="12"/>
      <color theme="1"/>
      <name val="Times New Roman"/>
      <family val="1"/>
    </font>
    <font>
      <sz val="12"/>
      <color rgb="FF1F3864"/>
      <name val="Times New Roman"/>
      <family val="1"/>
    </font>
    <font>
      <sz val="12"/>
      <color rgb="FF0F1115"/>
      <name val="Times New Roman"/>
      <family val="1"/>
    </font>
    <font>
      <sz val="12"/>
      <color rgb="FF1F1F1F"/>
      <name val="Times New Roman"/>
      <family val="1"/>
    </font>
    <font>
      <sz val="12"/>
      <color rgb="FF333333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1F7A4D"/>
        <bgColor rgb="FF1F7A4D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  <fill>
      <patternFill patternType="solid">
        <fgColor rgb="FF156082"/>
        <bgColor rgb="FF156082"/>
      </patternFill>
    </fill>
    <fill>
      <patternFill patternType="solid">
        <fgColor rgb="FF833C00"/>
        <bgColor rgb="FF833C00"/>
      </patternFill>
    </fill>
    <fill>
      <patternFill patternType="solid">
        <fgColor rgb="FF375623"/>
        <bgColor rgb="FF37562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164" fontId="2" fillId="9" borderId="0" xfId="0" applyNumberFormat="1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164" fontId="5" fillId="10" borderId="0" xfId="0" applyNumberFormat="1" applyFont="1" applyFill="1" applyAlignment="1">
      <alignment horizontal="center" vertical="center" wrapText="1"/>
    </xf>
    <xf numFmtId="164" fontId="6" fillId="10" borderId="0" xfId="0" applyNumberFormat="1" applyFont="1" applyFill="1" applyAlignment="1">
      <alignment horizontal="center" vertical="center" wrapText="1"/>
    </xf>
    <xf numFmtId="3" fontId="5" fillId="10" borderId="0" xfId="0" applyNumberFormat="1" applyFont="1" applyFill="1" applyAlignment="1">
      <alignment horizontal="center" vertical="center" wrapText="1"/>
    </xf>
    <xf numFmtId="3" fontId="3" fillId="10" borderId="0" xfId="0" applyNumberFormat="1" applyFont="1" applyFill="1" applyAlignment="1">
      <alignment horizontal="center" vertical="center" wrapText="1"/>
    </xf>
    <xf numFmtId="3" fontId="3" fillId="10" borderId="0" xfId="0" applyNumberFormat="1" applyFont="1" applyFill="1" applyAlignment="1">
      <alignment horizontal="center" vertical="center"/>
    </xf>
    <xf numFmtId="3" fontId="5" fillId="10" borderId="0" xfId="0" applyNumberFormat="1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64" fontId="5" fillId="10" borderId="0" xfId="0" applyNumberFormat="1" applyFont="1" applyFill="1" applyAlignment="1">
      <alignment horizontal="center" vertical="center"/>
    </xf>
    <xf numFmtId="3" fontId="7" fillId="10" borderId="0" xfId="0" applyNumberFormat="1" applyFont="1" applyFill="1" applyAlignment="1">
      <alignment horizontal="center" vertical="center" wrapText="1"/>
    </xf>
    <xf numFmtId="3" fontId="7" fillId="10" borderId="0" xfId="0" applyNumberFormat="1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/>
    </xf>
    <xf numFmtId="3" fontId="3" fillId="11" borderId="0" xfId="0" applyNumberFormat="1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164" fontId="3" fillId="11" borderId="0" xfId="0" applyNumberFormat="1" applyFont="1" applyFill="1" applyAlignment="1">
      <alignment horizontal="center" vertical="center"/>
    </xf>
    <xf numFmtId="164" fontId="3" fillId="1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164" fontId="3" fillId="12" borderId="0" xfId="0" applyNumberFormat="1" applyFont="1" applyFill="1" applyAlignment="1">
      <alignment horizontal="center" vertical="center" wrapText="1"/>
    </xf>
    <xf numFmtId="3" fontId="3" fillId="12" borderId="0" xfId="0" applyNumberFormat="1" applyFont="1" applyFill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12" borderId="0" xfId="0" applyNumberFormat="1" applyFont="1" applyFill="1" applyAlignment="1">
      <alignment horizontal="center" vertical="center"/>
    </xf>
    <xf numFmtId="9" fontId="3" fillId="12" borderId="0" xfId="0" applyNumberFormat="1" applyFont="1" applyFill="1" applyAlignment="1">
      <alignment horizontal="center" vertical="center" wrapText="1"/>
    </xf>
    <xf numFmtId="164" fontId="3" fillId="10" borderId="0" xfId="0" applyNumberFormat="1" applyFont="1" applyFill="1" applyAlignment="1">
      <alignment horizontal="center" vertical="center"/>
    </xf>
    <xf numFmtId="164" fontId="7" fillId="10" borderId="0" xfId="0" applyNumberFormat="1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4" fontId="3" fillId="10" borderId="0" xfId="0" applyNumberFormat="1" applyFont="1" applyFill="1" applyAlignment="1">
      <alignment horizontal="center" vertical="center"/>
    </xf>
    <xf numFmtId="164" fontId="4" fillId="12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guyen Duong" id="{E690A490-159B-49EE-B5B4-979A2EDA95AE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27T22:48:00.00" personId="{E690A490-159B-49EE-B5B4-979A2EDA95AE}" id="{E4BD97C7-398D-4F9B-BAA1-75119F1884FD}">
    <text>Sai do sai số cổ phiếu đang phát hành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999"/>
  <sheetViews>
    <sheetView tabSelected="1" topLeftCell="AJ55" zoomScale="86" workbookViewId="0">
      <selection activeCell="AR58" sqref="AR58"/>
    </sheetView>
  </sheetViews>
  <sheetFormatPr defaultColWidth="12.6328125" defaultRowHeight="14.5" x14ac:dyDescent="0.35"/>
  <cols>
    <col min="11" max="11" width="26.26953125" customWidth="1"/>
    <col min="12" max="12" width="23.7265625" customWidth="1"/>
    <col min="13" max="13" width="21" customWidth="1"/>
    <col min="14" max="14" width="19.453125" customWidth="1"/>
    <col min="15" max="15" width="23.6328125" customWidth="1"/>
    <col min="16" max="16" width="22.90625" customWidth="1"/>
    <col min="17" max="18" width="22.7265625" customWidth="1"/>
    <col min="19" max="19" width="22.36328125" customWidth="1"/>
    <col min="20" max="20" width="25" customWidth="1"/>
    <col min="21" max="21" width="16.26953125" customWidth="1"/>
    <col min="22" max="22" width="21.6328125" customWidth="1"/>
    <col min="23" max="23" width="19" customWidth="1"/>
    <col min="27" max="27" width="22.36328125" customWidth="1"/>
    <col min="28" max="28" width="27.36328125" customWidth="1"/>
    <col min="29" max="29" width="29.453125" customWidth="1"/>
    <col min="30" max="30" width="25.6328125" customWidth="1"/>
    <col min="31" max="31" width="30.08984375" customWidth="1"/>
    <col min="32" max="32" width="19" customWidth="1"/>
    <col min="33" max="33" width="28.6328125" customWidth="1"/>
    <col min="34" max="34" width="25.26953125" customWidth="1"/>
    <col min="35" max="35" width="29.26953125" customWidth="1"/>
    <col min="36" max="36" width="23.08984375" customWidth="1"/>
    <col min="37" max="37" width="23.36328125" customWidth="1"/>
    <col min="38" max="38" width="37.36328125" customWidth="1"/>
    <col min="39" max="39" width="21.08984375" customWidth="1"/>
    <col min="40" max="40" width="18.81640625" customWidth="1"/>
    <col min="43" max="43" width="20.26953125" customWidth="1"/>
  </cols>
  <sheetData>
    <row r="1" spans="1:58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4" t="s">
        <v>26</v>
      </c>
      <c r="AB1" s="4" t="s">
        <v>27</v>
      </c>
      <c r="AC1" s="3" t="s">
        <v>28</v>
      </c>
      <c r="AD1" s="4" t="s">
        <v>29</v>
      </c>
      <c r="AE1" s="6" t="s">
        <v>30</v>
      </c>
      <c r="AF1" s="6" t="s">
        <v>31</v>
      </c>
      <c r="AG1" s="6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7" t="s">
        <v>37</v>
      </c>
      <c r="AM1" s="4" t="s">
        <v>38</v>
      </c>
      <c r="AN1" s="3" t="s">
        <v>39</v>
      </c>
      <c r="AO1" s="3" t="s">
        <v>40</v>
      </c>
      <c r="AP1" s="8" t="s">
        <v>41</v>
      </c>
      <c r="AQ1" s="4" t="s">
        <v>42</v>
      </c>
      <c r="AR1" s="8" t="s">
        <v>43</v>
      </c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</row>
    <row r="2" spans="1:58" ht="15.75" customHeight="1" x14ac:dyDescent="0.35">
      <c r="A2" s="9"/>
      <c r="B2" s="9"/>
      <c r="C2" s="9"/>
      <c r="D2" s="9"/>
      <c r="E2" s="9"/>
      <c r="F2" s="9" t="s">
        <v>44</v>
      </c>
      <c r="G2" s="9" t="s">
        <v>44</v>
      </c>
      <c r="H2" s="9" t="s">
        <v>44</v>
      </c>
      <c r="I2" s="9" t="s">
        <v>44</v>
      </c>
      <c r="J2" s="9" t="s">
        <v>45</v>
      </c>
      <c r="K2" s="9" t="s">
        <v>46</v>
      </c>
      <c r="L2" s="9" t="s">
        <v>46</v>
      </c>
      <c r="M2" s="9" t="s">
        <v>46</v>
      </c>
      <c r="N2" s="9" t="s">
        <v>46</v>
      </c>
      <c r="O2" s="9" t="s">
        <v>46</v>
      </c>
      <c r="P2" s="9" t="s">
        <v>46</v>
      </c>
      <c r="Q2" s="9" t="s">
        <v>46</v>
      </c>
      <c r="R2" s="9" t="s">
        <v>46</v>
      </c>
      <c r="S2" s="9" t="s">
        <v>46</v>
      </c>
      <c r="T2" s="9" t="s">
        <v>46</v>
      </c>
      <c r="U2" s="9" t="s">
        <v>46</v>
      </c>
      <c r="V2" s="9" t="s">
        <v>46</v>
      </c>
      <c r="W2" s="9" t="s">
        <v>46</v>
      </c>
      <c r="X2" s="9"/>
      <c r="Y2" s="9" t="s">
        <v>47</v>
      </c>
      <c r="Z2" s="9" t="s">
        <v>47</v>
      </c>
      <c r="AA2" s="9" t="s">
        <v>46</v>
      </c>
      <c r="AB2" s="9" t="s">
        <v>46</v>
      </c>
      <c r="AC2" s="9" t="s">
        <v>46</v>
      </c>
      <c r="AD2" s="9" t="s">
        <v>46</v>
      </c>
      <c r="AE2" s="9" t="s">
        <v>46</v>
      </c>
      <c r="AF2" s="9" t="s">
        <v>46</v>
      </c>
      <c r="AG2" s="9" t="s">
        <v>46</v>
      </c>
      <c r="AH2" s="9" t="s">
        <v>46</v>
      </c>
      <c r="AI2" s="9" t="s">
        <v>46</v>
      </c>
      <c r="AJ2" s="9" t="s">
        <v>46</v>
      </c>
      <c r="AK2" s="9" t="s">
        <v>46</v>
      </c>
      <c r="AL2" s="10" t="s">
        <v>48</v>
      </c>
      <c r="AM2" s="9" t="s">
        <v>46</v>
      </c>
      <c r="AN2" s="9" t="s">
        <v>46</v>
      </c>
      <c r="AO2" s="9" t="s">
        <v>49</v>
      </c>
      <c r="AP2" s="9" t="s">
        <v>50</v>
      </c>
      <c r="AQ2" s="9" t="s">
        <v>46</v>
      </c>
      <c r="AR2" s="9" t="s">
        <v>51</v>
      </c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</row>
    <row r="3" spans="1:58" ht="15.75" customHeight="1" x14ac:dyDescent="0.35">
      <c r="A3" s="11">
        <v>1</v>
      </c>
      <c r="B3" s="11" t="s">
        <v>52</v>
      </c>
      <c r="C3" s="12" t="s">
        <v>53</v>
      </c>
      <c r="D3" s="11">
        <v>2020</v>
      </c>
      <c r="E3" s="11"/>
      <c r="F3" s="13">
        <f>2.73/100</f>
        <v>2.7300000000000001E-2</v>
      </c>
      <c r="G3" s="14">
        <v>0</v>
      </c>
      <c r="H3" s="13">
        <v>0.32190000000000002</v>
      </c>
      <c r="I3" s="13">
        <v>7.7000000000000002E-3</v>
      </c>
      <c r="J3" s="15">
        <v>63044964</v>
      </c>
      <c r="K3" s="15">
        <v>688906778823</v>
      </c>
      <c r="L3" s="15">
        <v>688099141530</v>
      </c>
      <c r="M3" s="15">
        <v>1996448537835</v>
      </c>
      <c r="N3" s="15">
        <v>8064954136</v>
      </c>
      <c r="O3" s="16">
        <v>91783678590</v>
      </c>
      <c r="P3" s="16">
        <v>879961073</v>
      </c>
      <c r="Q3" s="16">
        <v>407052870451</v>
      </c>
      <c r="R3" s="15">
        <v>74783008927</v>
      </c>
      <c r="S3" s="16">
        <v>42770135220</v>
      </c>
      <c r="T3" s="17">
        <v>507854863815</v>
      </c>
      <c r="U3" s="17">
        <v>726314671</v>
      </c>
      <c r="V3" s="17">
        <v>327806102508</v>
      </c>
      <c r="W3" s="18">
        <v>599496719860</v>
      </c>
      <c r="X3" s="19" t="s">
        <v>54</v>
      </c>
      <c r="Y3" s="19">
        <v>1</v>
      </c>
      <c r="Z3" s="19">
        <v>1</v>
      </c>
      <c r="AA3" s="18">
        <v>58288240493</v>
      </c>
      <c r="AB3" s="18">
        <v>1322161674671</v>
      </c>
      <c r="AC3" s="18">
        <v>1884603108852</v>
      </c>
      <c r="AD3" s="18">
        <v>674286863164</v>
      </c>
      <c r="AE3" s="17">
        <v>119204401875</v>
      </c>
      <c r="AF3" s="17">
        <v>44556364087</v>
      </c>
      <c r="AG3" s="17">
        <v>-403099393129</v>
      </c>
      <c r="AH3" s="17">
        <v>367600627050</v>
      </c>
      <c r="AI3" s="17">
        <v>336219540186</v>
      </c>
      <c r="AJ3" s="18">
        <v>1082104845821</v>
      </c>
      <c r="AK3" s="18">
        <v>338067322978</v>
      </c>
      <c r="AL3" s="20">
        <v>-0.2235</v>
      </c>
      <c r="AM3" s="17">
        <v>9006715540</v>
      </c>
      <c r="AN3" s="17">
        <v>-77123245591</v>
      </c>
      <c r="AO3" s="17">
        <v>1361</v>
      </c>
      <c r="AP3" s="17">
        <v>1120</v>
      </c>
      <c r="AQ3" s="17">
        <v>341407486237</v>
      </c>
      <c r="AR3" s="19">
        <v>10</v>
      </c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</row>
    <row r="4" spans="1:58" ht="15.75" customHeight="1" x14ac:dyDescent="0.35">
      <c r="A4" s="11">
        <v>1</v>
      </c>
      <c r="B4" s="11" t="s">
        <v>52</v>
      </c>
      <c r="C4" s="12" t="s">
        <v>53</v>
      </c>
      <c r="D4" s="11">
        <v>2021</v>
      </c>
      <c r="E4" s="11"/>
      <c r="F4" s="13">
        <v>2.69E-2</v>
      </c>
      <c r="G4" s="14">
        <v>0</v>
      </c>
      <c r="H4" s="13">
        <v>0.26989999999999997</v>
      </c>
      <c r="I4" s="13">
        <v>8.2000000000000007E-3</v>
      </c>
      <c r="J4" s="15">
        <v>75653891</v>
      </c>
      <c r="K4" s="15">
        <v>722200202004</v>
      </c>
      <c r="L4" s="15">
        <v>722200182004</v>
      </c>
      <c r="M4" s="15">
        <v>2140068443648</v>
      </c>
      <c r="N4" s="15">
        <v>5157685533</v>
      </c>
      <c r="O4" s="16">
        <v>103629284816</v>
      </c>
      <c r="P4" s="16">
        <v>670898529</v>
      </c>
      <c r="Q4" s="16">
        <v>428426565874</v>
      </c>
      <c r="R4" s="15">
        <v>59181149406</v>
      </c>
      <c r="S4" s="21">
        <v>55308902655</v>
      </c>
      <c r="T4" s="17">
        <v>546512881345</v>
      </c>
      <c r="U4" s="17">
        <v>562766370</v>
      </c>
      <c r="V4" s="17">
        <v>351248254501</v>
      </c>
      <c r="W4" s="18">
        <v>633168556109</v>
      </c>
      <c r="X4" s="19" t="s">
        <v>54</v>
      </c>
      <c r="Y4" s="19">
        <v>0</v>
      </c>
      <c r="Z4" s="19">
        <v>1</v>
      </c>
      <c r="AA4" s="18">
        <v>34944462203</v>
      </c>
      <c r="AB4" s="18">
        <v>1380881294925</v>
      </c>
      <c r="AC4" s="18">
        <v>2028885048838</v>
      </c>
      <c r="AD4" s="18">
        <v>759187148723</v>
      </c>
      <c r="AE4" s="22">
        <v>70743835077</v>
      </c>
      <c r="AF4" s="17">
        <v>24454290310</v>
      </c>
      <c r="AG4" s="17">
        <v>332469662408</v>
      </c>
      <c r="AH4" s="17">
        <v>137335598773</v>
      </c>
      <c r="AI4" s="17">
        <v>344278214507</v>
      </c>
      <c r="AJ4" s="18">
        <v>631170606581</v>
      </c>
      <c r="AK4" s="18">
        <v>414908934216</v>
      </c>
      <c r="AL4" s="20">
        <v>0.05</v>
      </c>
      <c r="AM4" s="22">
        <v>14073821238</v>
      </c>
      <c r="AN4" s="22">
        <v>-14713596708</v>
      </c>
      <c r="AO4" s="19">
        <v>794</v>
      </c>
      <c r="AP4" s="17">
        <v>1122</v>
      </c>
      <c r="AQ4" s="17">
        <v>352629188712</v>
      </c>
      <c r="AR4" s="19">
        <v>11</v>
      </c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</row>
    <row r="5" spans="1:58" ht="15.75" customHeight="1" x14ac:dyDescent="0.35">
      <c r="A5" s="11">
        <v>1</v>
      </c>
      <c r="B5" s="11" t="s">
        <v>52</v>
      </c>
      <c r="C5" s="12" t="s">
        <v>53</v>
      </c>
      <c r="D5" s="11">
        <v>2022</v>
      </c>
      <c r="E5" s="11"/>
      <c r="F5" s="13">
        <v>9.4899999999999998E-2</v>
      </c>
      <c r="G5" s="14">
        <v>0</v>
      </c>
      <c r="H5" s="13">
        <v>0.27</v>
      </c>
      <c r="I5" s="13">
        <v>8.0000000000000002E-3</v>
      </c>
      <c r="J5" s="15">
        <v>75653891</v>
      </c>
      <c r="K5" s="15">
        <v>1979717131195</v>
      </c>
      <c r="L5" s="15">
        <v>1979509448075</v>
      </c>
      <c r="M5" s="15">
        <v>3030948819243</v>
      </c>
      <c r="N5" s="15">
        <v>8375215228</v>
      </c>
      <c r="O5" s="16">
        <v>196096380007</v>
      </c>
      <c r="P5" s="16">
        <v>37369570336</v>
      </c>
      <c r="Q5" s="16">
        <v>1240681424745</v>
      </c>
      <c r="R5" s="15">
        <v>202719446429</v>
      </c>
      <c r="S5" s="16">
        <v>251560530674</v>
      </c>
      <c r="T5" s="17">
        <v>1634586633382</v>
      </c>
      <c r="U5" s="17">
        <v>496208075</v>
      </c>
      <c r="V5" s="17">
        <v>1099193195729</v>
      </c>
      <c r="W5" s="18">
        <v>1797404058882</v>
      </c>
      <c r="X5" s="19" t="s">
        <v>54</v>
      </c>
      <c r="Y5" s="19">
        <v>1</v>
      </c>
      <c r="Z5" s="19">
        <v>1</v>
      </c>
      <c r="AA5" s="18">
        <v>152229508245</v>
      </c>
      <c r="AB5" s="18">
        <v>1824874332015</v>
      </c>
      <c r="AC5" s="18">
        <v>1774462013405</v>
      </c>
      <c r="AD5" s="18">
        <v>1206074487228</v>
      </c>
      <c r="AE5" s="17">
        <v>237633659659</v>
      </c>
      <c r="AF5" s="17">
        <v>37853835633</v>
      </c>
      <c r="AG5" s="17">
        <v>-221631724350</v>
      </c>
      <c r="AH5" s="17">
        <v>206721379127</v>
      </c>
      <c r="AI5" s="17">
        <v>606173852872</v>
      </c>
      <c r="AJ5" s="18">
        <v>1737734525236</v>
      </c>
      <c r="AK5" s="18">
        <v>599900634356</v>
      </c>
      <c r="AL5" s="20">
        <v>1.7408999999999999</v>
      </c>
      <c r="AM5" s="17">
        <v>33761135694</v>
      </c>
      <c r="AN5" s="17">
        <v>-5210159412</v>
      </c>
      <c r="AO5" s="17">
        <v>1191</v>
      </c>
      <c r="AP5" s="17">
        <v>1846</v>
      </c>
      <c r="AQ5" s="17">
        <v>491443865546</v>
      </c>
      <c r="AR5" s="19">
        <v>12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</row>
    <row r="6" spans="1:58" ht="15.75" customHeight="1" x14ac:dyDescent="0.35">
      <c r="A6" s="11">
        <v>1</v>
      </c>
      <c r="B6" s="11" t="s">
        <v>52</v>
      </c>
      <c r="C6" s="12" t="s">
        <v>53</v>
      </c>
      <c r="D6" s="11">
        <v>2023</v>
      </c>
      <c r="E6" s="11"/>
      <c r="F6" s="13">
        <v>9.4899999999999998E-2</v>
      </c>
      <c r="G6" s="14">
        <v>0</v>
      </c>
      <c r="H6" s="13">
        <v>0.27</v>
      </c>
      <c r="I6" s="13">
        <v>8.9999999999999993E-3</v>
      </c>
      <c r="J6" s="15">
        <v>75653892</v>
      </c>
      <c r="K6" s="15">
        <v>1920320196629</v>
      </c>
      <c r="L6" s="15">
        <v>1919850676354</v>
      </c>
      <c r="M6" s="15">
        <v>3050110829236</v>
      </c>
      <c r="N6" s="15">
        <v>12371818100</v>
      </c>
      <c r="O6" s="16">
        <v>172996951025</v>
      </c>
      <c r="P6" s="16">
        <v>35770959973</v>
      </c>
      <c r="Q6" s="16">
        <v>1240300590920</v>
      </c>
      <c r="R6" s="15">
        <v>56126791603</v>
      </c>
      <c r="S6" s="16">
        <v>294161336177</v>
      </c>
      <c r="T6" s="17">
        <v>1669699756561</v>
      </c>
      <c r="U6" s="17">
        <v>115792496</v>
      </c>
      <c r="V6" s="17">
        <v>1061571323516</v>
      </c>
      <c r="W6" s="18">
        <v>1861863263278</v>
      </c>
      <c r="X6" s="19" t="s">
        <v>54</v>
      </c>
      <c r="Y6" s="19">
        <v>1</v>
      </c>
      <c r="Z6" s="19">
        <v>1</v>
      </c>
      <c r="AA6" s="18">
        <v>27024912994</v>
      </c>
      <c r="AB6" s="18">
        <v>1850405703213</v>
      </c>
      <c r="AC6" s="18">
        <v>1475250894000</v>
      </c>
      <c r="AD6" s="18">
        <v>1203303714362</v>
      </c>
      <c r="AE6" s="17">
        <v>148667512428</v>
      </c>
      <c r="AF6" s="17">
        <v>83456882805</v>
      </c>
      <c r="AG6" s="17">
        <v>-124298428749</v>
      </c>
      <c r="AH6" s="17">
        <v>165727939365</v>
      </c>
      <c r="AI6" s="17">
        <v>531204749942</v>
      </c>
      <c r="AJ6" s="18">
        <v>1734850620405</v>
      </c>
      <c r="AK6" s="18">
        <v>668500376081</v>
      </c>
      <c r="AL6" s="20">
        <v>-3.0099999999999998E-2</v>
      </c>
      <c r="AM6" s="17">
        <v>32534813939</v>
      </c>
      <c r="AN6" s="17">
        <v>-30457392950</v>
      </c>
      <c r="AO6" s="19">
        <v>53</v>
      </c>
      <c r="AP6" s="17">
        <v>1887</v>
      </c>
      <c r="AQ6" s="17">
        <v>424545631587</v>
      </c>
      <c r="AR6" s="19">
        <v>13</v>
      </c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</row>
    <row r="7" spans="1:58" ht="15.75" customHeight="1" x14ac:dyDescent="0.35">
      <c r="A7" s="11">
        <v>1</v>
      </c>
      <c r="B7" s="11" t="s">
        <v>52</v>
      </c>
      <c r="C7" s="12" t="s">
        <v>53</v>
      </c>
      <c r="D7" s="11">
        <v>2024</v>
      </c>
      <c r="E7" s="11"/>
      <c r="F7" s="13">
        <v>9.4899999999999998E-2</v>
      </c>
      <c r="G7" s="14">
        <v>0</v>
      </c>
      <c r="H7" s="13">
        <v>0.28000000000000003</v>
      </c>
      <c r="I7" s="13">
        <v>0.01</v>
      </c>
      <c r="J7" s="15">
        <v>90784669</v>
      </c>
      <c r="K7" s="15">
        <v>1916030791310</v>
      </c>
      <c r="L7" s="15">
        <v>1915534107117</v>
      </c>
      <c r="M7" s="15">
        <v>3270895843935</v>
      </c>
      <c r="N7" s="15">
        <v>17502190415</v>
      </c>
      <c r="O7" s="16">
        <v>198945681685</v>
      </c>
      <c r="P7" s="16">
        <v>34204039077</v>
      </c>
      <c r="Q7" s="16">
        <v>1202059321826</v>
      </c>
      <c r="R7" s="15">
        <v>78856936849</v>
      </c>
      <c r="S7" s="16">
        <v>257534919937</v>
      </c>
      <c r="T7" s="17">
        <v>1606063463539</v>
      </c>
      <c r="U7" s="17">
        <v>103498116</v>
      </c>
      <c r="V7" s="17">
        <v>1019175980088</v>
      </c>
      <c r="W7" s="18">
        <v>1835403866910</v>
      </c>
      <c r="X7" s="19" t="s">
        <v>54</v>
      </c>
      <c r="Y7" s="19">
        <v>1</v>
      </c>
      <c r="Z7" s="19">
        <v>1</v>
      </c>
      <c r="AA7" s="18">
        <v>53484630469</v>
      </c>
      <c r="AB7" s="18">
        <v>2031949831357</v>
      </c>
      <c r="AC7" s="18">
        <v>1661359442700</v>
      </c>
      <c r="AD7" s="18">
        <v>1238946012578</v>
      </c>
      <c r="AE7" s="17">
        <v>144519990331</v>
      </c>
      <c r="AF7" s="17">
        <v>314088744676</v>
      </c>
      <c r="AG7" s="17">
        <v>-200630468048</v>
      </c>
      <c r="AH7" s="17">
        <v>275925813537</v>
      </c>
      <c r="AI7" s="17">
        <v>261373815710</v>
      </c>
      <c r="AJ7" s="18">
        <v>1759006493907</v>
      </c>
      <c r="AK7" s="18">
        <v>977572196868</v>
      </c>
      <c r="AL7" s="20">
        <v>-2.2000000000000001E-3</v>
      </c>
      <c r="AM7" s="17">
        <v>28049976271</v>
      </c>
      <c r="AN7" s="17">
        <v>-20115169028</v>
      </c>
      <c r="AO7" s="19">
        <v>319</v>
      </c>
      <c r="AP7" s="17">
        <v>2000</v>
      </c>
      <c r="AQ7" s="17">
        <v>418982455811</v>
      </c>
      <c r="AR7" s="19">
        <v>14</v>
      </c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</row>
    <row r="8" spans="1:58" ht="15.75" customHeight="1" x14ac:dyDescent="0.35">
      <c r="A8" s="23">
        <v>2</v>
      </c>
      <c r="B8" s="23" t="s">
        <v>55</v>
      </c>
      <c r="C8" s="24" t="s">
        <v>56</v>
      </c>
      <c r="D8" s="23">
        <v>2020</v>
      </c>
      <c r="E8" s="23"/>
      <c r="F8" s="25">
        <v>0.1676</v>
      </c>
      <c r="G8" s="25">
        <v>0</v>
      </c>
      <c r="H8" s="25">
        <v>0.23119999999999999</v>
      </c>
      <c r="I8" s="25">
        <v>0.14149999999999999</v>
      </c>
      <c r="J8" s="26">
        <v>30408751</v>
      </c>
      <c r="K8" s="26">
        <v>1436523157972</v>
      </c>
      <c r="L8" s="26">
        <v>1424587442141</v>
      </c>
      <c r="M8" s="26">
        <v>1492667751503</v>
      </c>
      <c r="N8" s="26">
        <v>40090530359</v>
      </c>
      <c r="O8" s="26">
        <v>36499701360</v>
      </c>
      <c r="P8" s="26">
        <v>622691371</v>
      </c>
      <c r="Q8" s="26">
        <v>131247467355</v>
      </c>
      <c r="R8" s="26">
        <v>71495487102</v>
      </c>
      <c r="S8" s="26">
        <v>1218247881713</v>
      </c>
      <c r="T8" s="26">
        <v>1264121655973</v>
      </c>
      <c r="U8" s="27">
        <v>0</v>
      </c>
      <c r="V8" s="26">
        <v>62718329567</v>
      </c>
      <c r="W8" s="26">
        <v>1455930028350</v>
      </c>
      <c r="X8" s="27" t="s">
        <v>54</v>
      </c>
      <c r="Y8" s="27">
        <v>1</v>
      </c>
      <c r="Z8" s="27">
        <v>1</v>
      </c>
      <c r="AA8" s="26">
        <v>60144726812</v>
      </c>
      <c r="AB8" s="26">
        <v>557694103349</v>
      </c>
      <c r="AC8" s="27">
        <v>433172657995</v>
      </c>
      <c r="AD8" s="26">
        <v>934973648154</v>
      </c>
      <c r="AE8" s="26">
        <v>-12819108901</v>
      </c>
      <c r="AF8" s="27">
        <v>91264043533</v>
      </c>
      <c r="AG8" s="26">
        <v>-139270387112</v>
      </c>
      <c r="AH8" s="26">
        <v>6282632017</v>
      </c>
      <c r="AI8" s="26">
        <v>32282292722</v>
      </c>
      <c r="AJ8" s="26">
        <v>929797165097</v>
      </c>
      <c r="AK8" s="26">
        <v>902691355432</v>
      </c>
      <c r="AL8" s="28">
        <v>0.49919999999999998</v>
      </c>
      <c r="AM8" s="26">
        <v>602350615573</v>
      </c>
      <c r="AN8" s="27">
        <v>0</v>
      </c>
      <c r="AO8" s="26">
        <v>1767</v>
      </c>
      <c r="AP8" s="27">
        <v>1103</v>
      </c>
      <c r="AQ8" s="26">
        <v>309696604199</v>
      </c>
      <c r="AR8" s="27">
        <v>15</v>
      </c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</row>
    <row r="9" spans="1:58" ht="15.75" customHeight="1" x14ac:dyDescent="0.35">
      <c r="A9" s="23">
        <v>2</v>
      </c>
      <c r="B9" s="23" t="s">
        <v>55</v>
      </c>
      <c r="C9" s="24" t="s">
        <v>56</v>
      </c>
      <c r="D9" s="23">
        <v>2021</v>
      </c>
      <c r="E9" s="23"/>
      <c r="F9" s="25">
        <v>0.2477</v>
      </c>
      <c r="G9" s="25">
        <v>0</v>
      </c>
      <c r="H9" s="25">
        <v>1.5E-3</v>
      </c>
      <c r="I9" s="25">
        <v>7.7899999999999997E-2</v>
      </c>
      <c r="J9" s="26">
        <v>90817502</v>
      </c>
      <c r="K9" s="26">
        <v>2097799555425</v>
      </c>
      <c r="L9" s="26">
        <v>2093645423310</v>
      </c>
      <c r="M9" s="26">
        <v>2421584295083</v>
      </c>
      <c r="N9" s="26">
        <v>91920420442</v>
      </c>
      <c r="O9" s="26">
        <v>59129213296</v>
      </c>
      <c r="P9" s="26">
        <v>385702691</v>
      </c>
      <c r="Q9" s="26">
        <v>563589315340</v>
      </c>
      <c r="R9" s="26">
        <v>95487793578</v>
      </c>
      <c r="S9" s="26">
        <v>1826997321026</v>
      </c>
      <c r="T9" s="26">
        <v>2046374368813</v>
      </c>
      <c r="U9" s="27">
        <v>0</v>
      </c>
      <c r="V9" s="26">
        <v>100284010526</v>
      </c>
      <c r="W9" s="26">
        <v>2198251947193</v>
      </c>
      <c r="X9" s="27" t="s">
        <v>54</v>
      </c>
      <c r="Y9" s="27">
        <v>1</v>
      </c>
      <c r="Z9" s="27">
        <v>1</v>
      </c>
      <c r="AA9" s="26">
        <v>83524189680</v>
      </c>
      <c r="AB9" s="26">
        <v>1296155803029</v>
      </c>
      <c r="AC9" s="27">
        <v>1580042899796</v>
      </c>
      <c r="AD9" s="26">
        <v>1125428492054</v>
      </c>
      <c r="AE9" s="26">
        <v>-357450015123</v>
      </c>
      <c r="AF9" s="26">
        <v>18116093404</v>
      </c>
      <c r="AG9" s="26">
        <v>-421040683620</v>
      </c>
      <c r="AH9" s="26">
        <v>26838603731</v>
      </c>
      <c r="AI9" s="26">
        <v>228879731428</v>
      </c>
      <c r="AJ9" s="26">
        <v>1729566028845</v>
      </c>
      <c r="AK9" s="26">
        <v>896548760626</v>
      </c>
      <c r="AL9" s="28">
        <v>0.46029999999999999</v>
      </c>
      <c r="AM9" s="26">
        <v>862499021642</v>
      </c>
      <c r="AN9" s="27">
        <v>0</v>
      </c>
      <c r="AO9" s="26">
        <v>1595</v>
      </c>
      <c r="AP9" s="27">
        <v>1308</v>
      </c>
      <c r="AQ9" s="26">
        <v>311601602514</v>
      </c>
      <c r="AR9" s="27">
        <v>16</v>
      </c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</row>
    <row r="10" spans="1:58" ht="15.75" customHeight="1" x14ac:dyDescent="0.35">
      <c r="A10" s="23">
        <v>2</v>
      </c>
      <c r="B10" s="23" t="s">
        <v>55</v>
      </c>
      <c r="C10" s="24" t="s">
        <v>56</v>
      </c>
      <c r="D10" s="23">
        <v>2022</v>
      </c>
      <c r="E10" s="23"/>
      <c r="F10" s="25">
        <v>0.221</v>
      </c>
      <c r="G10" s="25">
        <v>0</v>
      </c>
      <c r="H10" s="25">
        <v>3.5000000000000001E-3</v>
      </c>
      <c r="I10" s="25">
        <v>0.104</v>
      </c>
      <c r="J10" s="26">
        <v>101898990</v>
      </c>
      <c r="K10" s="26">
        <v>2436532788881</v>
      </c>
      <c r="L10" s="26">
        <v>2414196041924</v>
      </c>
      <c r="M10" s="26">
        <v>2214198778090</v>
      </c>
      <c r="N10" s="26">
        <v>111426328326</v>
      </c>
      <c r="O10" s="26">
        <v>49259484239</v>
      </c>
      <c r="P10" s="26">
        <v>45122855930</v>
      </c>
      <c r="Q10" s="26">
        <v>284504689809</v>
      </c>
      <c r="R10" s="26">
        <v>121090513773</v>
      </c>
      <c r="S10" s="26">
        <v>1997467018657</v>
      </c>
      <c r="T10" s="26">
        <v>2661333930415</v>
      </c>
      <c r="U10" s="27">
        <v>0</v>
      </c>
      <c r="V10" s="26">
        <v>150824169682</v>
      </c>
      <c r="W10" s="26">
        <v>2426684913030</v>
      </c>
      <c r="X10" s="27" t="s">
        <v>54</v>
      </c>
      <c r="Y10" s="27">
        <v>0</v>
      </c>
      <c r="Z10" s="27">
        <v>1</v>
      </c>
      <c r="AA10" s="26">
        <v>106910789119</v>
      </c>
      <c r="AB10" s="26">
        <v>966080670007</v>
      </c>
      <c r="AC10" s="27">
        <v>774432324000</v>
      </c>
      <c r="AD10" s="26">
        <v>1248118108083</v>
      </c>
      <c r="AE10" s="26">
        <v>-253685178828</v>
      </c>
      <c r="AF10" s="26">
        <v>65474704434</v>
      </c>
      <c r="AG10" s="26">
        <v>-70453046900</v>
      </c>
      <c r="AH10" s="26">
        <v>5836426850</v>
      </c>
      <c r="AI10" s="26">
        <v>23905865957</v>
      </c>
      <c r="AJ10" s="26">
        <v>1668492641964</v>
      </c>
      <c r="AK10" s="26">
        <v>1224212242126</v>
      </c>
      <c r="AL10" s="28">
        <v>0.1615</v>
      </c>
      <c r="AM10" s="26">
        <v>880294246884</v>
      </c>
      <c r="AN10" s="27">
        <v>0</v>
      </c>
      <c r="AO10" s="26">
        <v>1700</v>
      </c>
      <c r="AP10" s="27">
        <v>1335</v>
      </c>
      <c r="AQ10" s="26">
        <v>299411590456</v>
      </c>
      <c r="AR10" s="27">
        <v>17</v>
      </c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</row>
    <row r="11" spans="1:58" ht="15.75" customHeight="1" x14ac:dyDescent="0.35">
      <c r="A11" s="23">
        <v>2</v>
      </c>
      <c r="B11" s="23" t="s">
        <v>55</v>
      </c>
      <c r="C11" s="24" t="s">
        <v>56</v>
      </c>
      <c r="D11" s="23">
        <v>2023</v>
      </c>
      <c r="E11" s="23"/>
      <c r="F11" s="25">
        <v>0.22120000000000001</v>
      </c>
      <c r="G11" s="25">
        <v>0</v>
      </c>
      <c r="H11" s="25">
        <v>4.0000000000000001E-3</v>
      </c>
      <c r="I11" s="25">
        <v>0.15329999999999999</v>
      </c>
      <c r="J11" s="26">
        <v>101898990</v>
      </c>
      <c r="K11" s="26">
        <v>2047751677931</v>
      </c>
      <c r="L11" s="26">
        <v>2040090385409</v>
      </c>
      <c r="M11" s="26">
        <v>3425762286441</v>
      </c>
      <c r="N11" s="26">
        <v>56003672813</v>
      </c>
      <c r="O11" s="26">
        <v>77603350580</v>
      </c>
      <c r="P11" s="26">
        <v>45877231677</v>
      </c>
      <c r="Q11" s="26">
        <v>216523448655</v>
      </c>
      <c r="R11" s="26">
        <v>91972113886</v>
      </c>
      <c r="S11" s="26">
        <v>1396066617629</v>
      </c>
      <c r="T11" s="26">
        <v>2119829943444</v>
      </c>
      <c r="U11" s="27">
        <v>0</v>
      </c>
      <c r="V11" s="26">
        <v>74098750398</v>
      </c>
      <c r="W11" s="26">
        <v>1754519518509</v>
      </c>
      <c r="X11" s="27" t="s">
        <v>54</v>
      </c>
      <c r="Y11" s="27">
        <v>1</v>
      </c>
      <c r="Z11" s="27">
        <v>1</v>
      </c>
      <c r="AA11" s="26">
        <v>66951557093</v>
      </c>
      <c r="AB11" s="26">
        <v>1494173405456</v>
      </c>
      <c r="AC11" s="27">
        <v>888559192800</v>
      </c>
      <c r="AD11" s="26">
        <v>1931588880986</v>
      </c>
      <c r="AE11" s="26">
        <v>-121965721793</v>
      </c>
      <c r="AF11" s="26">
        <v>327427071074</v>
      </c>
      <c r="AG11" s="26">
        <v>-341826914310</v>
      </c>
      <c r="AH11" s="26">
        <v>32030449594</v>
      </c>
      <c r="AI11" s="26">
        <v>356364311109</v>
      </c>
      <c r="AJ11" s="26">
        <v>2104402139704</v>
      </c>
      <c r="AK11" s="26">
        <v>1575224569877</v>
      </c>
      <c r="AL11" s="28">
        <v>-0.15959999999999999</v>
      </c>
      <c r="AM11" s="26">
        <v>1333202618493</v>
      </c>
      <c r="AN11" s="27">
        <v>0</v>
      </c>
      <c r="AO11" s="27">
        <v>479</v>
      </c>
      <c r="AP11" s="27">
        <v>1482</v>
      </c>
      <c r="AQ11" s="26">
        <v>405442357203</v>
      </c>
      <c r="AR11" s="27">
        <v>18</v>
      </c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</row>
    <row r="12" spans="1:58" ht="46.5" x14ac:dyDescent="0.35">
      <c r="A12" s="23">
        <v>2</v>
      </c>
      <c r="B12" s="23" t="s">
        <v>55</v>
      </c>
      <c r="C12" s="24" t="s">
        <v>56</v>
      </c>
      <c r="D12" s="23">
        <v>2024</v>
      </c>
      <c r="E12" s="23"/>
      <c r="F12" s="25">
        <v>0.22090000000000001</v>
      </c>
      <c r="G12" s="25">
        <v>0</v>
      </c>
      <c r="H12" s="25">
        <v>3.5999999999999999E-3</v>
      </c>
      <c r="I12" s="25">
        <v>0.1736</v>
      </c>
      <c r="J12" s="26">
        <v>101898990</v>
      </c>
      <c r="K12" s="26">
        <v>2981374735211</v>
      </c>
      <c r="L12" s="26">
        <v>2980878052706</v>
      </c>
      <c r="M12" s="26">
        <v>3716531565479</v>
      </c>
      <c r="N12" s="26">
        <v>103385870567</v>
      </c>
      <c r="O12" s="26">
        <v>95298182923</v>
      </c>
      <c r="P12" s="26">
        <v>45058329484</v>
      </c>
      <c r="Q12" s="26">
        <v>324336002924</v>
      </c>
      <c r="R12" s="26">
        <v>66079755115</v>
      </c>
      <c r="S12" s="26">
        <v>1325095932743</v>
      </c>
      <c r="T12" s="26">
        <v>2878876995780</v>
      </c>
      <c r="U12" s="27">
        <v>0</v>
      </c>
      <c r="V12" s="26">
        <v>127556482481</v>
      </c>
      <c r="W12" s="26">
        <v>1843298634908</v>
      </c>
      <c r="X12" s="27" t="s">
        <v>54</v>
      </c>
      <c r="Y12" s="27">
        <v>1</v>
      </c>
      <c r="Z12" s="27">
        <v>1</v>
      </c>
      <c r="AA12" s="26">
        <v>66249584615</v>
      </c>
      <c r="AB12" s="26">
        <v>1663361200340</v>
      </c>
      <c r="AC12" s="27">
        <v>801945051300</v>
      </c>
      <c r="AD12" s="26">
        <v>2053170365139</v>
      </c>
      <c r="AE12" s="26">
        <v>-56207241500</v>
      </c>
      <c r="AF12" s="26">
        <v>56833645612</v>
      </c>
      <c r="AG12" s="26">
        <v>-123737594742</v>
      </c>
      <c r="AH12" s="26">
        <v>166150844088</v>
      </c>
      <c r="AI12" s="26">
        <v>814807609194</v>
      </c>
      <c r="AJ12" s="26">
        <v>2675381107467</v>
      </c>
      <c r="AK12" s="26">
        <v>1238362755945</v>
      </c>
      <c r="AL12" s="28">
        <v>0.45590000000000003</v>
      </c>
      <c r="AM12" s="26">
        <v>1588902235881</v>
      </c>
      <c r="AN12" s="27">
        <v>0</v>
      </c>
      <c r="AO12" s="27">
        <v>549</v>
      </c>
      <c r="AP12" s="27">
        <v>1506</v>
      </c>
      <c r="AQ12" s="26">
        <v>360850127445</v>
      </c>
      <c r="AR12" s="27">
        <v>19</v>
      </c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</row>
    <row r="13" spans="1:58" ht="31" x14ac:dyDescent="0.35">
      <c r="A13" s="11">
        <v>3</v>
      </c>
      <c r="B13" s="11" t="s">
        <v>57</v>
      </c>
      <c r="C13" s="12" t="s">
        <v>58</v>
      </c>
      <c r="D13" s="11">
        <v>2020</v>
      </c>
      <c r="E13" s="11"/>
      <c r="F13" s="20">
        <v>0.19689999999999999</v>
      </c>
      <c r="G13" s="20">
        <v>0</v>
      </c>
      <c r="H13" s="20">
        <v>4.7000000000000002E-3</v>
      </c>
      <c r="I13" s="20">
        <v>0.47510000000000002</v>
      </c>
      <c r="J13" s="16">
        <v>38047973</v>
      </c>
      <c r="K13" s="16">
        <v>855774884323</v>
      </c>
      <c r="L13" s="16">
        <v>855358212133</v>
      </c>
      <c r="M13" s="16">
        <v>1353033082102</v>
      </c>
      <c r="N13" s="16">
        <v>140601585345</v>
      </c>
      <c r="O13" s="16">
        <v>94276086698</v>
      </c>
      <c r="P13" s="16">
        <v>4466411834</v>
      </c>
      <c r="Q13" s="16">
        <v>139585141520</v>
      </c>
      <c r="R13" s="16">
        <v>57228571967</v>
      </c>
      <c r="S13" s="16">
        <v>443890777612</v>
      </c>
      <c r="T13" s="16">
        <v>534919032666</v>
      </c>
      <c r="U13" s="16">
        <v>0</v>
      </c>
      <c r="V13" s="16">
        <v>45932443354</v>
      </c>
      <c r="W13" s="16">
        <v>792277830816</v>
      </c>
      <c r="X13" s="11" t="s">
        <v>54</v>
      </c>
      <c r="Y13" s="11">
        <v>0</v>
      </c>
      <c r="Z13" s="11">
        <v>0</v>
      </c>
      <c r="AA13" s="16">
        <v>42056931119</v>
      </c>
      <c r="AB13" s="16">
        <v>944327202905</v>
      </c>
      <c r="AC13" s="16">
        <v>365831260395</v>
      </c>
      <c r="AD13" s="16">
        <v>408705879197</v>
      </c>
      <c r="AE13" s="16">
        <v>158304173133</v>
      </c>
      <c r="AF13" s="16">
        <v>6721546973</v>
      </c>
      <c r="AG13" s="16">
        <v>31383857780</v>
      </c>
      <c r="AH13" s="16">
        <v>51427020485</v>
      </c>
      <c r="AI13" s="16">
        <v>255539098242</v>
      </c>
      <c r="AJ13" s="16">
        <v>1087289632776.0001</v>
      </c>
      <c r="AK13" s="16">
        <v>153166780955</v>
      </c>
      <c r="AL13" s="29">
        <v>-0.14799999999999999</v>
      </c>
      <c r="AM13" s="16">
        <v>339496885104</v>
      </c>
      <c r="AN13" s="16">
        <v>-34022914605</v>
      </c>
      <c r="AO13" s="16">
        <v>1105</v>
      </c>
      <c r="AP13" s="16">
        <v>1495</v>
      </c>
      <c r="AQ13" s="16">
        <v>201705006975</v>
      </c>
      <c r="AR13" s="11">
        <v>28</v>
      </c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ht="31" x14ac:dyDescent="0.35">
      <c r="A14" s="11">
        <v>3</v>
      </c>
      <c r="B14" s="11" t="s">
        <v>57</v>
      </c>
      <c r="C14" s="12" t="s">
        <v>58</v>
      </c>
      <c r="D14" s="11">
        <v>2021</v>
      </c>
      <c r="E14" s="11"/>
      <c r="F14" s="20">
        <v>0.21249999999999999</v>
      </c>
      <c r="G14" s="20">
        <v>0</v>
      </c>
      <c r="H14" s="20">
        <v>2.0999999999999999E-3</v>
      </c>
      <c r="I14" s="20">
        <v>0.49309999999999998</v>
      </c>
      <c r="J14" s="16">
        <v>41091589</v>
      </c>
      <c r="K14" s="16">
        <v>866451098588</v>
      </c>
      <c r="L14" s="16">
        <v>865947301217</v>
      </c>
      <c r="M14" s="16">
        <v>1268743492740</v>
      </c>
      <c r="N14" s="16">
        <v>150461607802</v>
      </c>
      <c r="O14" s="16">
        <v>85058370307</v>
      </c>
      <c r="P14" s="16">
        <v>2829707011</v>
      </c>
      <c r="Q14" s="16">
        <v>137289662063</v>
      </c>
      <c r="R14" s="16">
        <v>73853793364</v>
      </c>
      <c r="S14" s="16">
        <v>450467326222</v>
      </c>
      <c r="T14" s="16">
        <v>577769511180</v>
      </c>
      <c r="U14" s="16">
        <v>0</v>
      </c>
      <c r="V14" s="16">
        <v>55275776407</v>
      </c>
      <c r="W14" s="16">
        <v>799579329307</v>
      </c>
      <c r="X14" s="11" t="s">
        <v>54</v>
      </c>
      <c r="Y14" s="11">
        <v>1</v>
      </c>
      <c r="Z14" s="11">
        <v>1</v>
      </c>
      <c r="AA14" s="16">
        <v>59720671255</v>
      </c>
      <c r="AB14" s="16">
        <v>964036237978</v>
      </c>
      <c r="AC14" s="16">
        <v>589376661027</v>
      </c>
      <c r="AD14" s="16">
        <v>304707254762</v>
      </c>
      <c r="AE14" s="16">
        <v>-52570256707</v>
      </c>
      <c r="AF14" s="16">
        <v>75190215400</v>
      </c>
      <c r="AG14" s="16">
        <v>215347905714</v>
      </c>
      <c r="AH14" s="16">
        <v>52162065411</v>
      </c>
      <c r="AI14" s="16">
        <v>32783914430</v>
      </c>
      <c r="AJ14" s="16">
        <v>965611047552</v>
      </c>
      <c r="AK14" s="16">
        <v>271923340332</v>
      </c>
      <c r="AL14" s="29">
        <v>1.2E-2</v>
      </c>
      <c r="AM14" s="16">
        <v>346527464417</v>
      </c>
      <c r="AN14" s="16">
        <v>-37991437250</v>
      </c>
      <c r="AO14" s="16">
        <v>1570</v>
      </c>
      <c r="AP14" s="16">
        <v>1212</v>
      </c>
      <c r="AQ14" s="16">
        <v>186722125438</v>
      </c>
      <c r="AR14" s="11">
        <v>29</v>
      </c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</row>
    <row r="15" spans="1:58" ht="31" x14ac:dyDescent="0.35">
      <c r="A15" s="11">
        <v>3</v>
      </c>
      <c r="B15" s="11" t="s">
        <v>57</v>
      </c>
      <c r="C15" s="12" t="s">
        <v>58</v>
      </c>
      <c r="D15" s="11">
        <v>2022</v>
      </c>
      <c r="E15" s="11"/>
      <c r="F15" s="20">
        <v>0.217</v>
      </c>
      <c r="G15" s="20">
        <v>0</v>
      </c>
      <c r="H15" s="20">
        <v>1.78E-2</v>
      </c>
      <c r="I15" s="20">
        <v>0.53369999999999995</v>
      </c>
      <c r="J15" s="16">
        <v>41979773</v>
      </c>
      <c r="K15" s="16">
        <v>1021675009233</v>
      </c>
      <c r="L15" s="16">
        <v>1021248518188</v>
      </c>
      <c r="M15" s="16">
        <v>1456695376147</v>
      </c>
      <c r="N15" s="16">
        <v>173296409898</v>
      </c>
      <c r="O15" s="16">
        <v>88027974504</v>
      </c>
      <c r="P15" s="16">
        <v>1255755198</v>
      </c>
      <c r="Q15" s="16">
        <v>153031823079</v>
      </c>
      <c r="R15" s="16">
        <v>114812681768</v>
      </c>
      <c r="S15" s="16">
        <v>562031924801</v>
      </c>
      <c r="T15" s="16">
        <v>654690345841</v>
      </c>
      <c r="U15" s="16">
        <v>0</v>
      </c>
      <c r="V15" s="16">
        <v>89883133370</v>
      </c>
      <c r="W15" s="16">
        <v>930628670438</v>
      </c>
      <c r="X15" s="11" t="s">
        <v>54</v>
      </c>
      <c r="Y15" s="11">
        <v>1</v>
      </c>
      <c r="Z15" s="11">
        <v>1</v>
      </c>
      <c r="AA15" s="16">
        <v>91829420972</v>
      </c>
      <c r="AB15" s="16">
        <v>1027841202886</v>
      </c>
      <c r="AC15" s="16">
        <v>516980904495</v>
      </c>
      <c r="AD15" s="16">
        <v>428854173261</v>
      </c>
      <c r="AE15" s="16">
        <v>85259858422</v>
      </c>
      <c r="AF15" s="16">
        <v>152158012141</v>
      </c>
      <c r="AG15" s="16">
        <v>-182273579881</v>
      </c>
      <c r="AH15" s="16">
        <v>54780353092</v>
      </c>
      <c r="AI15" s="16">
        <v>116841140481</v>
      </c>
      <c r="AJ15" s="16">
        <v>1055145769022</v>
      </c>
      <c r="AK15" s="16">
        <v>312013032780</v>
      </c>
      <c r="AL15" s="29">
        <v>0.18</v>
      </c>
      <c r="AM15" s="16">
        <v>364153052782</v>
      </c>
      <c r="AN15" s="16">
        <v>-41083124500</v>
      </c>
      <c r="AO15" s="16">
        <v>2215</v>
      </c>
      <c r="AP15" s="16">
        <v>1206</v>
      </c>
      <c r="AQ15" s="16">
        <v>164253763180</v>
      </c>
      <c r="AR15" s="11">
        <v>30</v>
      </c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ht="31" x14ac:dyDescent="0.35">
      <c r="A16" s="11">
        <v>3</v>
      </c>
      <c r="B16" s="11" t="s">
        <v>57</v>
      </c>
      <c r="C16" s="12" t="s">
        <v>58</v>
      </c>
      <c r="D16" s="11">
        <v>2023</v>
      </c>
      <c r="E16" s="11"/>
      <c r="F16" s="20">
        <v>0.19600000000000001</v>
      </c>
      <c r="G16" s="20">
        <v>0</v>
      </c>
      <c r="H16" s="20">
        <v>1.5599999999999999E-2</v>
      </c>
      <c r="I16" s="20">
        <v>0.46400000000000002</v>
      </c>
      <c r="J16" s="16">
        <v>41979773</v>
      </c>
      <c r="K16" s="16">
        <v>787684319980</v>
      </c>
      <c r="L16" s="16">
        <v>786853906149</v>
      </c>
      <c r="M16" s="16">
        <v>1355871069270</v>
      </c>
      <c r="N16" s="16">
        <v>167439134031</v>
      </c>
      <c r="O16" s="16">
        <v>92954672832</v>
      </c>
      <c r="P16" s="16">
        <v>974391698</v>
      </c>
      <c r="Q16" s="16">
        <v>150221863066</v>
      </c>
      <c r="R16" s="16">
        <v>17494075386</v>
      </c>
      <c r="S16" s="16">
        <v>405745037451</v>
      </c>
      <c r="T16" s="16">
        <v>490477935758</v>
      </c>
      <c r="U16" s="16">
        <v>0</v>
      </c>
      <c r="V16" s="16">
        <v>87439470693</v>
      </c>
      <c r="W16" s="16">
        <v>787275525279</v>
      </c>
      <c r="X16" s="11" t="s">
        <v>54</v>
      </c>
      <c r="Y16" s="11">
        <v>1</v>
      </c>
      <c r="Z16" s="11">
        <v>1</v>
      </c>
      <c r="AA16" s="16">
        <v>18641772642</v>
      </c>
      <c r="AB16" s="16">
        <v>999971315520</v>
      </c>
      <c r="AC16" s="16">
        <v>580874119001</v>
      </c>
      <c r="AD16" s="16">
        <v>355899753750</v>
      </c>
      <c r="AE16" s="16">
        <v>148247972622</v>
      </c>
      <c r="AF16" s="16">
        <v>132020652921</v>
      </c>
      <c r="AG16" s="16">
        <v>-70951110689</v>
      </c>
      <c r="AH16" s="16">
        <v>40858611052</v>
      </c>
      <c r="AI16" s="16">
        <v>122216982536</v>
      </c>
      <c r="AJ16" s="16">
        <v>770385094402</v>
      </c>
      <c r="AK16" s="16">
        <v>233682771214</v>
      </c>
      <c r="AL16" s="29">
        <v>-0.23</v>
      </c>
      <c r="AM16" s="16">
        <v>318859392606</v>
      </c>
      <c r="AN16" s="16">
        <v>-46131788152</v>
      </c>
      <c r="AO16" s="11">
        <v>425</v>
      </c>
      <c r="AP16" s="16">
        <v>1201</v>
      </c>
      <c r="AQ16" s="16">
        <v>351190821438</v>
      </c>
      <c r="AR16" s="11">
        <v>31</v>
      </c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8" ht="31" x14ac:dyDescent="0.35">
      <c r="A17" s="11">
        <v>3</v>
      </c>
      <c r="B17" s="11" t="s">
        <v>57</v>
      </c>
      <c r="C17" s="12" t="s">
        <v>58</v>
      </c>
      <c r="D17" s="11">
        <v>2024</v>
      </c>
      <c r="E17" s="11"/>
      <c r="F17" s="20">
        <v>0.19900000000000001</v>
      </c>
      <c r="G17" s="20">
        <v>0</v>
      </c>
      <c r="H17" s="20">
        <v>1.6E-2</v>
      </c>
      <c r="I17" s="20">
        <v>0.46800000000000003</v>
      </c>
      <c r="J17" s="16">
        <v>41979773</v>
      </c>
      <c r="K17" s="16">
        <v>743880737377</v>
      </c>
      <c r="L17" s="16">
        <v>741241688662</v>
      </c>
      <c r="M17" s="16">
        <v>1284187996713</v>
      </c>
      <c r="N17" s="16">
        <v>176095588564</v>
      </c>
      <c r="O17" s="16">
        <v>94936293601</v>
      </c>
      <c r="P17" s="16">
        <v>1356180770</v>
      </c>
      <c r="Q17" s="16">
        <v>181553940576</v>
      </c>
      <c r="R17" s="16">
        <v>-26268202529</v>
      </c>
      <c r="S17" s="16">
        <v>369607413453</v>
      </c>
      <c r="T17" s="16">
        <v>442745782748</v>
      </c>
      <c r="U17" s="16">
        <v>0</v>
      </c>
      <c r="V17" s="16">
        <v>103346835167</v>
      </c>
      <c r="W17" s="16">
        <v>750950595526</v>
      </c>
      <c r="X17" s="11" t="s">
        <v>54</v>
      </c>
      <c r="Y17" s="11">
        <v>1</v>
      </c>
      <c r="Z17" s="11">
        <v>1</v>
      </c>
      <c r="AA17" s="16">
        <v>-29093858237</v>
      </c>
      <c r="AB17" s="16">
        <v>948498494718</v>
      </c>
      <c r="AC17" s="16">
        <v>411359795627</v>
      </c>
      <c r="AD17" s="16">
        <v>335689501995</v>
      </c>
      <c r="AE17" s="16">
        <v>68890605279</v>
      </c>
      <c r="AF17" s="16">
        <v>1188295819</v>
      </c>
      <c r="AG17" s="16">
        <v>-56316828962</v>
      </c>
      <c r="AH17" s="16">
        <v>19500426548</v>
      </c>
      <c r="AI17" s="16">
        <v>103053783261</v>
      </c>
      <c r="AJ17" s="16">
        <v>740856476417</v>
      </c>
      <c r="AK17" s="16">
        <v>232635718734</v>
      </c>
      <c r="AL17" s="29">
        <v>-0.06</v>
      </c>
      <c r="AM17" s="16">
        <v>253459104730</v>
      </c>
      <c r="AN17" s="16">
        <v>-20984923228</v>
      </c>
      <c r="AO17" s="30">
        <v>-719</v>
      </c>
      <c r="AP17" s="16">
        <v>1000</v>
      </c>
      <c r="AQ17" s="16">
        <v>313979656197</v>
      </c>
      <c r="AR17" s="11">
        <v>32</v>
      </c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8" ht="31" x14ac:dyDescent="0.35">
      <c r="A18" s="31">
        <v>4</v>
      </c>
      <c r="B18" s="31" t="s">
        <v>59</v>
      </c>
      <c r="C18" s="32" t="s">
        <v>60</v>
      </c>
      <c r="D18" s="31">
        <v>2020</v>
      </c>
      <c r="E18" s="31"/>
      <c r="F18" s="33">
        <v>0.16700000000000001</v>
      </c>
      <c r="G18" s="33">
        <v>0</v>
      </c>
      <c r="H18" s="34" t="s">
        <v>54</v>
      </c>
      <c r="I18" s="33">
        <v>0.1023</v>
      </c>
      <c r="J18" s="34">
        <v>15085305</v>
      </c>
      <c r="K18" s="34">
        <v>1203172731199</v>
      </c>
      <c r="L18" s="34">
        <v>1203172731199</v>
      </c>
      <c r="M18" s="34">
        <v>702041366073</v>
      </c>
      <c r="N18" s="34">
        <v>77664429853</v>
      </c>
      <c r="O18" s="34">
        <v>19294401906</v>
      </c>
      <c r="P18" s="34">
        <v>5479267020</v>
      </c>
      <c r="Q18" s="34">
        <v>1024746285119</v>
      </c>
      <c r="R18" s="34">
        <v>97557073277</v>
      </c>
      <c r="S18" s="34">
        <v>22023006705</v>
      </c>
      <c r="T18" s="34">
        <v>1024665336459</v>
      </c>
      <c r="U18" s="34">
        <v>199667440</v>
      </c>
      <c r="V18" s="34">
        <v>952102145039</v>
      </c>
      <c r="W18" s="34">
        <v>1121635023288</v>
      </c>
      <c r="X18" s="31" t="s">
        <v>54</v>
      </c>
      <c r="Y18" s="31">
        <v>0</v>
      </c>
      <c r="Z18" s="31">
        <v>0</v>
      </c>
      <c r="AA18" s="34">
        <v>82332644998</v>
      </c>
      <c r="AB18" s="34">
        <v>482381377520</v>
      </c>
      <c r="AC18" s="31">
        <v>194902140600</v>
      </c>
      <c r="AD18" s="34">
        <v>219659988553</v>
      </c>
      <c r="AE18" s="34">
        <v>155173448725</v>
      </c>
      <c r="AF18" s="34">
        <v>12611152641</v>
      </c>
      <c r="AG18" s="34">
        <v>-56088769364</v>
      </c>
      <c r="AH18" s="34">
        <v>136330512608</v>
      </c>
      <c r="AI18" s="34">
        <v>1430350440</v>
      </c>
      <c r="AJ18" s="34">
        <v>385066003926</v>
      </c>
      <c r="AK18" s="34">
        <v>218229638113</v>
      </c>
      <c r="AL18" s="33">
        <v>0.42221589947070676</v>
      </c>
      <c r="AM18" s="34">
        <v>274089186</v>
      </c>
      <c r="AN18" s="34">
        <v>-20022576900</v>
      </c>
      <c r="AO18" s="34">
        <v>5763</v>
      </c>
      <c r="AP18" s="31">
        <v>383</v>
      </c>
      <c r="AQ18" s="34">
        <v>74663742443</v>
      </c>
      <c r="AR18" s="31">
        <v>28</v>
      </c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</row>
    <row r="19" spans="1:58" ht="31" x14ac:dyDescent="0.35">
      <c r="A19" s="31">
        <v>4</v>
      </c>
      <c r="B19" s="31" t="s">
        <v>59</v>
      </c>
      <c r="C19" s="32" t="s">
        <v>60</v>
      </c>
      <c r="D19" s="31">
        <v>2021</v>
      </c>
      <c r="E19" s="31"/>
      <c r="F19" s="33">
        <v>0.15260000000000001</v>
      </c>
      <c r="G19" s="33">
        <v>0</v>
      </c>
      <c r="H19" s="34" t="s">
        <v>54</v>
      </c>
      <c r="I19" s="33">
        <v>5.6511056511056514E-2</v>
      </c>
      <c r="J19" s="34">
        <v>15753069</v>
      </c>
      <c r="K19" s="34">
        <v>1851648593740</v>
      </c>
      <c r="L19" s="34">
        <v>1851648593740</v>
      </c>
      <c r="M19" s="34">
        <v>933648493033</v>
      </c>
      <c r="N19" s="34">
        <v>76037359744</v>
      </c>
      <c r="O19" s="34">
        <v>19342291259</v>
      </c>
      <c r="P19" s="34">
        <v>2293949992</v>
      </c>
      <c r="Q19" s="34">
        <v>1608261439550</v>
      </c>
      <c r="R19" s="34">
        <v>213958042895</v>
      </c>
      <c r="S19" s="34">
        <v>31889078382</v>
      </c>
      <c r="T19" s="34">
        <v>1618617388870</v>
      </c>
      <c r="U19" s="34">
        <v>491155713</v>
      </c>
      <c r="V19" s="34">
        <v>1477834334121</v>
      </c>
      <c r="W19" s="34">
        <v>1713799840026</v>
      </c>
      <c r="X19" s="31" t="s">
        <v>54</v>
      </c>
      <c r="Y19" s="31">
        <v>0</v>
      </c>
      <c r="Z19" s="31">
        <v>0</v>
      </c>
      <c r="AA19" s="34">
        <v>175037638716</v>
      </c>
      <c r="AB19" s="34">
        <v>620111723695</v>
      </c>
      <c r="AC19" s="31">
        <v>487809534654</v>
      </c>
      <c r="AD19" s="34">
        <v>313536769338</v>
      </c>
      <c r="AE19" s="34">
        <v>1609005031</v>
      </c>
      <c r="AF19" s="34">
        <v>19410506783</v>
      </c>
      <c r="AG19" s="34">
        <v>128160235180</v>
      </c>
      <c r="AH19" s="34">
        <v>231546309493</v>
      </c>
      <c r="AI19" s="34">
        <v>0</v>
      </c>
      <c r="AJ19" s="34">
        <v>689908573929</v>
      </c>
      <c r="AK19" s="34">
        <v>313536769338</v>
      </c>
      <c r="AL19" s="33">
        <v>0.53897154226124555</v>
      </c>
      <c r="AM19" s="34">
        <v>762777306</v>
      </c>
      <c r="AN19" s="34">
        <v>-41388939675</v>
      </c>
      <c r="AO19" s="34">
        <v>8347</v>
      </c>
      <c r="AP19" s="34">
        <v>382</v>
      </c>
      <c r="AQ19" s="34">
        <v>69160025558</v>
      </c>
      <c r="AR19" s="31">
        <v>29</v>
      </c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spans="1:58" ht="31" x14ac:dyDescent="0.35">
      <c r="A20" s="31">
        <v>4</v>
      </c>
      <c r="B20" s="31" t="s">
        <v>59</v>
      </c>
      <c r="C20" s="32" t="s">
        <v>60</v>
      </c>
      <c r="D20" s="31">
        <v>2022</v>
      </c>
      <c r="E20" s="31"/>
      <c r="F20" s="33">
        <v>0.1537</v>
      </c>
      <c r="G20" s="33">
        <v>0</v>
      </c>
      <c r="H20" s="34" t="s">
        <v>54</v>
      </c>
      <c r="I20" s="33">
        <v>8.8300000000000003E-2</v>
      </c>
      <c r="J20" s="34">
        <v>23816046</v>
      </c>
      <c r="K20" s="34">
        <v>1724364161804</v>
      </c>
      <c r="L20" s="34">
        <v>1724364161804</v>
      </c>
      <c r="M20" s="34">
        <v>996424236673</v>
      </c>
      <c r="N20" s="34">
        <v>75197656234</v>
      </c>
      <c r="O20" s="34">
        <v>23122553355</v>
      </c>
      <c r="P20" s="34">
        <v>2245000000</v>
      </c>
      <c r="Q20" s="34">
        <v>1485751404871</v>
      </c>
      <c r="R20" s="34">
        <v>267620030527</v>
      </c>
      <c r="S20" s="34">
        <v>21971361902</v>
      </c>
      <c r="T20" s="34">
        <v>1531464818850</v>
      </c>
      <c r="U20" s="34">
        <v>567231429</v>
      </c>
      <c r="V20" s="34">
        <v>1425456954585</v>
      </c>
      <c r="W20" s="34">
        <v>1581007388463</v>
      </c>
      <c r="X20" s="31" t="s">
        <v>54</v>
      </c>
      <c r="Y20" s="31">
        <v>0</v>
      </c>
      <c r="Z20" s="31">
        <v>1</v>
      </c>
      <c r="AA20" s="34">
        <v>214418568181</v>
      </c>
      <c r="AB20" s="34">
        <v>775921470267</v>
      </c>
      <c r="AC20" s="31">
        <v>549293284944</v>
      </c>
      <c r="AD20" s="34">
        <v>220502766406</v>
      </c>
      <c r="AE20" s="34">
        <v>25729048021</v>
      </c>
      <c r="AF20" s="34">
        <v>21506178686</v>
      </c>
      <c r="AG20" s="34">
        <v>-53588769300</v>
      </c>
      <c r="AH20" s="34">
        <v>151852936933</v>
      </c>
      <c r="AI20" s="34">
        <v>0</v>
      </c>
      <c r="AJ20" s="34">
        <v>611195454908</v>
      </c>
      <c r="AK20" s="34">
        <v>220502766406</v>
      </c>
      <c r="AL20" s="33">
        <v>-6.8741138230180132E-2</v>
      </c>
      <c r="AM20" s="34">
        <v>49099056400</v>
      </c>
      <c r="AN20" s="34">
        <v>-63096475000</v>
      </c>
      <c r="AO20" s="34">
        <v>10081</v>
      </c>
      <c r="AP20" s="34">
        <v>387</v>
      </c>
      <c r="AQ20" s="34">
        <v>75170702780</v>
      </c>
      <c r="AR20" s="31">
        <v>30</v>
      </c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</row>
    <row r="21" spans="1:58" ht="31" x14ac:dyDescent="0.35">
      <c r="A21" s="31">
        <v>4</v>
      </c>
      <c r="B21" s="31" t="s">
        <v>59</v>
      </c>
      <c r="C21" s="32" t="s">
        <v>60</v>
      </c>
      <c r="D21" s="31">
        <v>2023</v>
      </c>
      <c r="E21" s="31"/>
      <c r="F21" s="33">
        <v>0.1331</v>
      </c>
      <c r="G21" s="33">
        <v>0</v>
      </c>
      <c r="H21" s="34" t="s">
        <v>54</v>
      </c>
      <c r="I21" s="33">
        <v>9.4700000000000006E-2</v>
      </c>
      <c r="J21" s="34">
        <v>23816046</v>
      </c>
      <c r="K21" s="34">
        <v>1017527242605</v>
      </c>
      <c r="L21" s="34">
        <v>1017527242605</v>
      </c>
      <c r="M21" s="34">
        <v>890867347912</v>
      </c>
      <c r="N21" s="34">
        <v>74971997727</v>
      </c>
      <c r="O21" s="34">
        <v>23675886492</v>
      </c>
      <c r="P21" s="34">
        <v>2295848610</v>
      </c>
      <c r="Q21" s="34">
        <v>955298549186</v>
      </c>
      <c r="R21" s="34">
        <v>126931339680</v>
      </c>
      <c r="S21" s="34">
        <v>1035656033</v>
      </c>
      <c r="T21" s="34">
        <v>839147870437</v>
      </c>
      <c r="U21" s="34">
        <v>2664805794</v>
      </c>
      <c r="V21" s="34">
        <v>818620019861</v>
      </c>
      <c r="W21" s="34">
        <v>921713667272</v>
      </c>
      <c r="X21" s="31" t="s">
        <v>54</v>
      </c>
      <c r="Y21" s="31">
        <v>0</v>
      </c>
      <c r="Z21" s="31">
        <v>1</v>
      </c>
      <c r="AA21" s="34">
        <v>103120257241</v>
      </c>
      <c r="AB21" s="34">
        <v>734679525200</v>
      </c>
      <c r="AC21" s="31">
        <v>616454534664</v>
      </c>
      <c r="AD21" s="34">
        <v>156187822712</v>
      </c>
      <c r="AE21" s="34">
        <v>159159434802</v>
      </c>
      <c r="AF21" s="34">
        <v>383371267</v>
      </c>
      <c r="AG21" s="34">
        <v>70773144115</v>
      </c>
      <c r="AH21" s="34">
        <v>243643051621</v>
      </c>
      <c r="AI21" s="34">
        <v>91160000</v>
      </c>
      <c r="AJ21" s="34">
        <v>576694622832</v>
      </c>
      <c r="AK21" s="34">
        <v>156096662712</v>
      </c>
      <c r="AL21" s="33">
        <v>-0.40991162705418294</v>
      </c>
      <c r="AM21" s="34">
        <v>46919481751</v>
      </c>
      <c r="AN21" s="34">
        <v>-137968458178</v>
      </c>
      <c r="AO21" s="34">
        <v>3445</v>
      </c>
      <c r="AP21" s="34">
        <v>372</v>
      </c>
      <c r="AQ21" s="34">
        <v>58711796600</v>
      </c>
      <c r="AR21" s="31">
        <v>31</v>
      </c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spans="1:58" ht="31" x14ac:dyDescent="0.35">
      <c r="A22" s="31">
        <v>4</v>
      </c>
      <c r="B22" s="31" t="s">
        <v>59</v>
      </c>
      <c r="C22" s="32" t="s">
        <v>60</v>
      </c>
      <c r="D22" s="31">
        <v>2024</v>
      </c>
      <c r="E22" s="31"/>
      <c r="F22" s="33">
        <v>0.1658</v>
      </c>
      <c r="G22" s="33">
        <v>0</v>
      </c>
      <c r="H22" s="31" t="s">
        <v>54</v>
      </c>
      <c r="I22" s="33">
        <v>0.1027</v>
      </c>
      <c r="J22" s="34">
        <v>24887046</v>
      </c>
      <c r="K22" s="34">
        <v>1087771573724</v>
      </c>
      <c r="L22" s="34">
        <v>1087771573724</v>
      </c>
      <c r="M22" s="34">
        <v>920947023360</v>
      </c>
      <c r="N22" s="34">
        <v>71117632758</v>
      </c>
      <c r="O22" s="34">
        <v>21725493390</v>
      </c>
      <c r="P22" s="34">
        <v>2276165274</v>
      </c>
      <c r="Q22" s="34">
        <v>844865589794</v>
      </c>
      <c r="R22" s="34">
        <v>94602277830</v>
      </c>
      <c r="S22" s="34">
        <v>1342658458</v>
      </c>
      <c r="T22" s="34">
        <v>931199847169</v>
      </c>
      <c r="U22" s="34">
        <v>5221223728</v>
      </c>
      <c r="V22" s="34">
        <v>932608181838</v>
      </c>
      <c r="W22" s="34">
        <v>1024003962214</v>
      </c>
      <c r="X22" s="31" t="s">
        <v>54</v>
      </c>
      <c r="Y22" s="31">
        <v>0</v>
      </c>
      <c r="Z22" s="31">
        <v>0</v>
      </c>
      <c r="AA22" s="34">
        <v>78384997675</v>
      </c>
      <c r="AB22" s="34">
        <v>763666260408</v>
      </c>
      <c r="AC22" s="31">
        <v>657192223722</v>
      </c>
      <c r="AD22" s="34">
        <v>157280762952</v>
      </c>
      <c r="AE22" s="34">
        <v>35723568656</v>
      </c>
      <c r="AF22" s="34">
        <v>2325757171</v>
      </c>
      <c r="AG22" s="34">
        <v>6643615954</v>
      </c>
      <c r="AH22" s="34">
        <v>252466824362</v>
      </c>
      <c r="AI22" s="34">
        <v>91160000</v>
      </c>
      <c r="AJ22" s="34">
        <v>627020287079</v>
      </c>
      <c r="AK22" s="34">
        <v>157189602952</v>
      </c>
      <c r="AL22" s="33">
        <v>6.9034349330211076E-2</v>
      </c>
      <c r="AM22" s="34">
        <v>45520513988</v>
      </c>
      <c r="AN22" s="34">
        <v>-46314068000</v>
      </c>
      <c r="AO22" s="34">
        <v>4341</v>
      </c>
      <c r="AP22" s="31">
        <v>362</v>
      </c>
      <c r="AQ22" s="34">
        <v>47128327697</v>
      </c>
      <c r="AR22" s="31">
        <v>32</v>
      </c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</row>
    <row r="23" spans="1:58" ht="31" x14ac:dyDescent="0.35">
      <c r="A23" s="11">
        <v>5</v>
      </c>
      <c r="B23" s="11" t="s">
        <v>61</v>
      </c>
      <c r="C23" s="12" t="s">
        <v>62</v>
      </c>
      <c r="D23" s="11">
        <v>2020</v>
      </c>
      <c r="E23" s="11"/>
      <c r="F23" s="35">
        <v>2.3539999999999998E-2</v>
      </c>
      <c r="G23" s="35">
        <v>0</v>
      </c>
      <c r="H23" s="36" t="s">
        <v>54</v>
      </c>
      <c r="I23" s="36">
        <v>0.13450999999999999</v>
      </c>
      <c r="J23" s="37">
        <v>15029145</v>
      </c>
      <c r="K23" s="37">
        <v>638232429348</v>
      </c>
      <c r="L23" s="37">
        <v>638219363218</v>
      </c>
      <c r="M23" s="38">
        <v>975881199539</v>
      </c>
      <c r="N23" s="38">
        <v>35151850484</v>
      </c>
      <c r="O23" s="37">
        <v>4056818583</v>
      </c>
      <c r="P23" s="37">
        <v>61995112060</v>
      </c>
      <c r="Q23" s="37">
        <v>167154460214</v>
      </c>
      <c r="R23" s="38">
        <v>91942811509</v>
      </c>
      <c r="S23" s="38">
        <v>155299235189</v>
      </c>
      <c r="T23" s="37">
        <v>500554938180</v>
      </c>
      <c r="U23" s="37">
        <v>6117702431</v>
      </c>
      <c r="V23" s="37">
        <v>134888007803</v>
      </c>
      <c r="W23" s="37">
        <v>375210228099</v>
      </c>
      <c r="X23" s="39" t="s">
        <v>54</v>
      </c>
      <c r="Y23" s="39">
        <v>0</v>
      </c>
      <c r="Z23" s="39">
        <v>1</v>
      </c>
      <c r="AA23" s="38">
        <v>83112130287</v>
      </c>
      <c r="AB23" s="38">
        <v>550265349680</v>
      </c>
      <c r="AC23" s="38">
        <v>170771203780</v>
      </c>
      <c r="AD23" s="38">
        <v>425615849859</v>
      </c>
      <c r="AE23" s="38">
        <v>59666257418</v>
      </c>
      <c r="AF23" s="37">
        <v>19948106716</v>
      </c>
      <c r="AG23" s="37">
        <v>-38386532906</v>
      </c>
      <c r="AH23" s="37">
        <v>90427262563</v>
      </c>
      <c r="AI23" s="37">
        <v>42630067500</v>
      </c>
      <c r="AJ23" s="38">
        <v>489073472602</v>
      </c>
      <c r="AK23" s="38">
        <v>382985782359</v>
      </c>
      <c r="AL23" s="40">
        <v>-0.20449999999999999</v>
      </c>
      <c r="AM23" s="37">
        <v>67112186180</v>
      </c>
      <c r="AN23" s="37">
        <v>-36067911960</v>
      </c>
      <c r="AO23" s="38">
        <v>5070</v>
      </c>
      <c r="AP23" s="41">
        <v>263</v>
      </c>
      <c r="AQ23" s="37">
        <v>135234862208</v>
      </c>
      <c r="AR23" s="39">
        <v>27</v>
      </c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</row>
    <row r="24" spans="1:58" ht="31" x14ac:dyDescent="0.35">
      <c r="A24" s="11">
        <v>5</v>
      </c>
      <c r="B24" s="11" t="s">
        <v>61</v>
      </c>
      <c r="C24" s="12" t="s">
        <v>62</v>
      </c>
      <c r="D24" s="11">
        <v>2021</v>
      </c>
      <c r="E24" s="11"/>
      <c r="F24" s="36">
        <v>2.35E-2</v>
      </c>
      <c r="G24" s="35">
        <v>0</v>
      </c>
      <c r="H24" s="36" t="s">
        <v>54</v>
      </c>
      <c r="I24" s="36">
        <v>4.104E-2</v>
      </c>
      <c r="J24" s="37">
        <v>15029145</v>
      </c>
      <c r="K24" s="37">
        <v>515892584204</v>
      </c>
      <c r="L24" s="37">
        <v>515892584204</v>
      </c>
      <c r="M24" s="38">
        <v>973034696395</v>
      </c>
      <c r="N24" s="37">
        <v>24841576471</v>
      </c>
      <c r="O24" s="37">
        <v>21906132281</v>
      </c>
      <c r="P24" s="37">
        <v>60319245988</v>
      </c>
      <c r="Q24" s="37">
        <v>170934617714</v>
      </c>
      <c r="R24" s="38">
        <v>81845792485</v>
      </c>
      <c r="S24" s="37">
        <v>189347711580</v>
      </c>
      <c r="T24" s="37">
        <v>448944788444</v>
      </c>
      <c r="U24" s="37">
        <v>6161116442</v>
      </c>
      <c r="V24" s="37">
        <v>122701075145</v>
      </c>
      <c r="W24" s="37">
        <v>398136047984</v>
      </c>
      <c r="X24" s="39" t="s">
        <v>54</v>
      </c>
      <c r="Y24" s="39">
        <v>0</v>
      </c>
      <c r="Z24" s="39">
        <v>1</v>
      </c>
      <c r="AA24" s="37">
        <v>75289583290</v>
      </c>
      <c r="AB24" s="38">
        <v>583903617998</v>
      </c>
      <c r="AC24" s="38">
        <v>220838256630</v>
      </c>
      <c r="AD24" s="38">
        <v>389131078397</v>
      </c>
      <c r="AE24" s="37">
        <v>-13403855921</v>
      </c>
      <c r="AF24" s="37">
        <v>6804863324</v>
      </c>
      <c r="AG24" s="37">
        <v>129637732662</v>
      </c>
      <c r="AH24" s="37">
        <v>113761289692</v>
      </c>
      <c r="AI24" s="37">
        <v>38391667500</v>
      </c>
      <c r="AJ24" s="37">
        <v>541350866848</v>
      </c>
      <c r="AK24" s="38">
        <v>350739410897</v>
      </c>
      <c r="AL24" s="36">
        <v>-0.19170000000000001</v>
      </c>
      <c r="AM24" s="37">
        <v>72312901329</v>
      </c>
      <c r="AN24" s="37">
        <v>-18040738980</v>
      </c>
      <c r="AO24" s="38">
        <v>4618</v>
      </c>
      <c r="AP24" s="39">
        <v>218</v>
      </c>
      <c r="AQ24" s="37">
        <v>132682908149</v>
      </c>
      <c r="AR24" s="39">
        <v>28</v>
      </c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</row>
    <row r="25" spans="1:58" ht="31" x14ac:dyDescent="0.35">
      <c r="A25" s="11">
        <v>5</v>
      </c>
      <c r="B25" s="11" t="s">
        <v>61</v>
      </c>
      <c r="C25" s="12" t="s">
        <v>62</v>
      </c>
      <c r="D25" s="11">
        <v>2022</v>
      </c>
      <c r="E25" s="11"/>
      <c r="F25" s="36">
        <v>2.35E-2</v>
      </c>
      <c r="G25" s="35">
        <v>0</v>
      </c>
      <c r="H25" s="36" t="s">
        <v>54</v>
      </c>
      <c r="I25" s="36">
        <v>4.48E-2</v>
      </c>
      <c r="J25" s="37">
        <v>15029145</v>
      </c>
      <c r="K25" s="37">
        <v>571794811757</v>
      </c>
      <c r="L25" s="37">
        <v>571763259757</v>
      </c>
      <c r="M25" s="38">
        <v>1010445441574</v>
      </c>
      <c r="N25" s="38">
        <v>22087834334</v>
      </c>
      <c r="O25" s="37">
        <v>17360703360</v>
      </c>
      <c r="P25" s="37">
        <v>58727775115</v>
      </c>
      <c r="Q25" s="37">
        <v>137226351984</v>
      </c>
      <c r="R25" s="38">
        <v>16529135931</v>
      </c>
      <c r="S25" s="38">
        <v>234782037100</v>
      </c>
      <c r="T25" s="37">
        <v>512098620098</v>
      </c>
      <c r="U25" s="37">
        <v>9156404740</v>
      </c>
      <c r="V25" s="37">
        <v>90569103650</v>
      </c>
      <c r="W25" s="37">
        <v>409582109793</v>
      </c>
      <c r="X25" s="39" t="s">
        <v>54</v>
      </c>
      <c r="Y25" s="39">
        <v>0</v>
      </c>
      <c r="Z25" s="39">
        <v>1</v>
      </c>
      <c r="AA25" s="38">
        <v>20510942791</v>
      </c>
      <c r="AB25" s="38">
        <v>587204394856</v>
      </c>
      <c r="AC25" s="38">
        <v>131174376560</v>
      </c>
      <c r="AD25" s="38">
        <v>423241046718</v>
      </c>
      <c r="AE25" s="38">
        <v>-105020464225</v>
      </c>
      <c r="AF25" s="38">
        <v>3021675103</v>
      </c>
      <c r="AG25" s="38">
        <v>-2963009361</v>
      </c>
      <c r="AH25" s="37">
        <v>97861011092</v>
      </c>
      <c r="AI25" s="37">
        <v>29103267500</v>
      </c>
      <c r="AJ25" s="38">
        <v>578581008992</v>
      </c>
      <c r="AK25" s="38">
        <v>394137779218</v>
      </c>
      <c r="AL25" s="40">
        <v>0.1084</v>
      </c>
      <c r="AM25" s="38">
        <v>74395772824</v>
      </c>
      <c r="AN25" s="38">
        <v>-36070194986</v>
      </c>
      <c r="AO25" s="37">
        <v>1298</v>
      </c>
      <c r="AP25" s="39">
        <v>224</v>
      </c>
      <c r="AQ25" s="37">
        <v>110621991397</v>
      </c>
      <c r="AR25" s="39">
        <v>29</v>
      </c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</row>
    <row r="26" spans="1:58" ht="31" x14ac:dyDescent="0.35">
      <c r="A26" s="11">
        <v>5</v>
      </c>
      <c r="B26" s="11" t="s">
        <v>61</v>
      </c>
      <c r="C26" s="12" t="s">
        <v>62</v>
      </c>
      <c r="D26" s="11">
        <v>2023</v>
      </c>
      <c r="E26" s="11"/>
      <c r="F26" s="36">
        <v>1.789E-2</v>
      </c>
      <c r="G26" s="35">
        <v>0</v>
      </c>
      <c r="H26" s="36" t="s">
        <v>54</v>
      </c>
      <c r="I26" s="36">
        <v>3.8370000000000001E-2</v>
      </c>
      <c r="J26" s="37">
        <v>15029145</v>
      </c>
      <c r="K26" s="37">
        <v>494136907209</v>
      </c>
      <c r="L26" s="37">
        <v>494116022209</v>
      </c>
      <c r="M26" s="38">
        <v>864510257596</v>
      </c>
      <c r="N26" s="37">
        <v>27785326370</v>
      </c>
      <c r="O26" s="37">
        <v>40744767798</v>
      </c>
      <c r="P26" s="37">
        <v>56892464239</v>
      </c>
      <c r="Q26" s="37">
        <v>144158441410</v>
      </c>
      <c r="R26" s="38">
        <v>-28219174001</v>
      </c>
      <c r="S26" s="37">
        <v>8130112890</v>
      </c>
      <c r="T26" s="37">
        <v>515520035706</v>
      </c>
      <c r="U26" s="37">
        <v>8066300111</v>
      </c>
      <c r="V26" s="37">
        <v>106980689368</v>
      </c>
      <c r="W26" s="37">
        <v>176665948595</v>
      </c>
      <c r="X26" s="39" t="s">
        <v>54</v>
      </c>
      <c r="Y26" s="39">
        <v>0</v>
      </c>
      <c r="Z26" s="39">
        <v>1</v>
      </c>
      <c r="AA26" s="38">
        <v>-26982148276</v>
      </c>
      <c r="AB26" s="38">
        <v>535932188524</v>
      </c>
      <c r="AC26" s="38">
        <v>126515341610</v>
      </c>
      <c r="AD26" s="38">
        <v>328578069072</v>
      </c>
      <c r="AE26" s="37">
        <v>-9956971274</v>
      </c>
      <c r="AF26" s="37">
        <v>4996928662</v>
      </c>
      <c r="AG26" s="37">
        <v>90191296995</v>
      </c>
      <c r="AH26" s="37">
        <v>63215235830</v>
      </c>
      <c r="AI26" s="37">
        <v>0</v>
      </c>
      <c r="AJ26" s="38">
        <v>462588802109</v>
      </c>
      <c r="AK26" s="38">
        <v>328578069072</v>
      </c>
      <c r="AL26" s="36">
        <v>-0.1358</v>
      </c>
      <c r="AM26" s="37">
        <v>95799786321</v>
      </c>
      <c r="AN26" s="37">
        <v>-15029019600</v>
      </c>
      <c r="AO26" s="37">
        <v>-1248</v>
      </c>
      <c r="AP26" s="39">
        <v>222</v>
      </c>
      <c r="AQ26" s="37">
        <v>94766752785</v>
      </c>
      <c r="AR26" s="39">
        <v>30</v>
      </c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</row>
    <row r="27" spans="1:58" ht="31" x14ac:dyDescent="0.35">
      <c r="A27" s="11">
        <v>5</v>
      </c>
      <c r="B27" s="11" t="s">
        <v>61</v>
      </c>
      <c r="C27" s="12" t="s">
        <v>62</v>
      </c>
      <c r="D27" s="11">
        <v>2024</v>
      </c>
      <c r="E27" s="11"/>
      <c r="F27" s="42">
        <v>0.26119999999999999</v>
      </c>
      <c r="G27" s="35">
        <v>0</v>
      </c>
      <c r="H27" s="36" t="s">
        <v>54</v>
      </c>
      <c r="I27" s="36">
        <v>1.056E-2</v>
      </c>
      <c r="J27" s="37">
        <v>15029145</v>
      </c>
      <c r="K27" s="37">
        <v>626849791749</v>
      </c>
      <c r="L27" s="37">
        <v>626831909349</v>
      </c>
      <c r="M27" s="38">
        <v>788592439800</v>
      </c>
      <c r="N27" s="37">
        <v>27339534420</v>
      </c>
      <c r="O27" s="37">
        <v>21748960137</v>
      </c>
      <c r="P27" s="37">
        <v>51656115056</v>
      </c>
      <c r="Q27" s="37">
        <v>128105140820</v>
      </c>
      <c r="R27" s="38">
        <v>5784446751</v>
      </c>
      <c r="S27" s="37">
        <v>204385972937</v>
      </c>
      <c r="T27" s="37">
        <v>558625496987</v>
      </c>
      <c r="U27" s="37">
        <v>8604870469</v>
      </c>
      <c r="V27" s="37">
        <v>101252377840</v>
      </c>
      <c r="W27" s="37">
        <v>377429631060</v>
      </c>
      <c r="X27" s="39" t="s">
        <v>54</v>
      </c>
      <c r="Y27" s="39">
        <v>0</v>
      </c>
      <c r="Z27" s="39">
        <v>0</v>
      </c>
      <c r="AA27" s="38">
        <v>8129058483</v>
      </c>
      <c r="AB27" s="37">
        <v>543631774387</v>
      </c>
      <c r="AC27" s="38">
        <v>132542009755</v>
      </c>
      <c r="AD27" s="38">
        <v>244960665413</v>
      </c>
      <c r="AE27" s="37">
        <v>61428228736</v>
      </c>
      <c r="AF27" s="37">
        <v>6174499020</v>
      </c>
      <c r="AG27" s="37">
        <v>1155064018</v>
      </c>
      <c r="AH27" s="37">
        <v>49051184329</v>
      </c>
      <c r="AI27" s="37">
        <v>37931769</v>
      </c>
      <c r="AJ27" s="38">
        <v>293450125677</v>
      </c>
      <c r="AK27" s="38">
        <v>244922733644</v>
      </c>
      <c r="AL27" s="36">
        <v>0.26800000000000002</v>
      </c>
      <c r="AM27" s="37">
        <v>85600206905</v>
      </c>
      <c r="AN27" s="39">
        <v>0</v>
      </c>
      <c r="AO27" s="39">
        <v>377</v>
      </c>
      <c r="AP27" s="39">
        <v>207</v>
      </c>
      <c r="AQ27" s="37">
        <v>86624081227</v>
      </c>
      <c r="AR27" s="39">
        <v>31</v>
      </c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</row>
    <row r="28" spans="1:58" ht="31" x14ac:dyDescent="0.35">
      <c r="A28" s="31">
        <v>6</v>
      </c>
      <c r="B28" s="31" t="s">
        <v>63</v>
      </c>
      <c r="C28" s="32" t="s">
        <v>64</v>
      </c>
      <c r="D28" s="31">
        <v>2020</v>
      </c>
      <c r="E28" s="31"/>
      <c r="F28" s="43">
        <v>0.1774908</v>
      </c>
      <c r="G28" s="43">
        <v>0</v>
      </c>
      <c r="H28" s="43">
        <v>0.1326</v>
      </c>
      <c r="I28" s="43">
        <v>2E-3</v>
      </c>
      <c r="J28" s="34">
        <v>45539968</v>
      </c>
      <c r="K28" s="34">
        <v>5733501727337</v>
      </c>
      <c r="L28" s="34">
        <v>5644018796504</v>
      </c>
      <c r="M28" s="34">
        <v>1578696957105</v>
      </c>
      <c r="N28" s="34">
        <v>189272855206</v>
      </c>
      <c r="O28" s="34">
        <v>103083396944</v>
      </c>
      <c r="P28" s="34">
        <v>84742669806</v>
      </c>
      <c r="Q28" s="34">
        <v>194028036197</v>
      </c>
      <c r="R28" s="34">
        <v>-6572201692</v>
      </c>
      <c r="S28" s="34">
        <v>5321199367441</v>
      </c>
      <c r="T28" s="34">
        <v>5177724955813</v>
      </c>
      <c r="U28" s="34">
        <v>8014379248</v>
      </c>
      <c r="V28" s="34">
        <v>47265386856</v>
      </c>
      <c r="W28" s="34">
        <v>5627235756127</v>
      </c>
      <c r="X28" s="31" t="s">
        <v>54</v>
      </c>
      <c r="Y28" s="31">
        <v>0</v>
      </c>
      <c r="Z28" s="31">
        <v>1</v>
      </c>
      <c r="AA28" s="34">
        <v>1430416184</v>
      </c>
      <c r="AB28" s="34">
        <v>532333206954</v>
      </c>
      <c r="AC28" s="31">
        <v>660876015616</v>
      </c>
      <c r="AD28" s="34">
        <v>1046363750151</v>
      </c>
      <c r="AE28" s="34">
        <v>120880820969</v>
      </c>
      <c r="AF28" s="34">
        <v>13841208686</v>
      </c>
      <c r="AG28" s="34">
        <v>-39298440835</v>
      </c>
      <c r="AH28" s="34">
        <v>39582976464</v>
      </c>
      <c r="AI28" s="34">
        <v>177040761635</v>
      </c>
      <c r="AJ28" s="34">
        <v>968201415794</v>
      </c>
      <c r="AK28" s="34">
        <v>869322988516</v>
      </c>
      <c r="AL28" s="33">
        <v>-0.11509999999999999</v>
      </c>
      <c r="AM28" s="34">
        <v>299345762083</v>
      </c>
      <c r="AN28" s="34">
        <v>-630234352</v>
      </c>
      <c r="AO28" s="31">
        <v>22</v>
      </c>
      <c r="AP28" s="31">
        <v>1135</v>
      </c>
      <c r="AQ28" s="34">
        <v>76109566797</v>
      </c>
      <c r="AR28" s="31">
        <v>11</v>
      </c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</row>
    <row r="29" spans="1:58" ht="31" x14ac:dyDescent="0.35">
      <c r="A29" s="31">
        <v>6</v>
      </c>
      <c r="B29" s="31" t="s">
        <v>63</v>
      </c>
      <c r="C29" s="32" t="s">
        <v>64</v>
      </c>
      <c r="D29" s="31">
        <v>2021</v>
      </c>
      <c r="E29" s="31"/>
      <c r="F29" s="43" t="s">
        <v>54</v>
      </c>
      <c r="G29" s="43">
        <v>0</v>
      </c>
      <c r="H29" s="43">
        <v>8.8400000000000006E-2</v>
      </c>
      <c r="I29" s="43">
        <v>4.8999999999999998E-3</v>
      </c>
      <c r="J29" s="34">
        <v>72397776</v>
      </c>
      <c r="K29" s="34">
        <v>4561827016960</v>
      </c>
      <c r="L29" s="34">
        <v>4508687749323</v>
      </c>
      <c r="M29" s="34">
        <v>1762091595441</v>
      </c>
      <c r="N29" s="34">
        <v>154230365310</v>
      </c>
      <c r="O29" s="34">
        <v>82451965194</v>
      </c>
      <c r="P29" s="34">
        <v>84658939983</v>
      </c>
      <c r="Q29" s="34">
        <v>127966357330</v>
      </c>
      <c r="R29" s="34">
        <v>47026094775</v>
      </c>
      <c r="S29" s="34">
        <v>4193334251128</v>
      </c>
      <c r="T29" s="34">
        <v>4243308429396</v>
      </c>
      <c r="U29" s="34">
        <v>5446919993</v>
      </c>
      <c r="V29" s="34">
        <v>33747149928</v>
      </c>
      <c r="W29" s="34">
        <v>4453781052760</v>
      </c>
      <c r="X29" s="31" t="s">
        <v>54</v>
      </c>
      <c r="Y29" s="31">
        <v>0</v>
      </c>
      <c r="Z29" s="31">
        <v>1</v>
      </c>
      <c r="AA29" s="34">
        <v>51833349519</v>
      </c>
      <c r="AB29" s="34">
        <v>811828271880</v>
      </c>
      <c r="AC29" s="31">
        <v>1135052332128</v>
      </c>
      <c r="AD29" s="34">
        <v>950263323561</v>
      </c>
      <c r="AE29" s="34">
        <v>-150381889373</v>
      </c>
      <c r="AF29" s="34">
        <v>12696760196</v>
      </c>
      <c r="AG29" s="34">
        <v>-5633496412</v>
      </c>
      <c r="AH29" s="34">
        <v>55474603075</v>
      </c>
      <c r="AI29" s="34">
        <v>66954342500</v>
      </c>
      <c r="AJ29" s="34">
        <v>1196236693916</v>
      </c>
      <c r="AK29" s="34">
        <v>883308981061</v>
      </c>
      <c r="AL29" s="33">
        <v>-0.2044</v>
      </c>
      <c r="AM29" s="34">
        <v>325137984316</v>
      </c>
      <c r="AN29" s="34">
        <v>-95654000</v>
      </c>
      <c r="AO29" s="31">
        <v>741</v>
      </c>
      <c r="AP29" s="31">
        <v>1268</v>
      </c>
      <c r="AQ29" s="34">
        <v>74795519469</v>
      </c>
      <c r="AR29" s="31">
        <v>12</v>
      </c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</row>
    <row r="30" spans="1:58" ht="31" x14ac:dyDescent="0.35">
      <c r="A30" s="31">
        <v>6</v>
      </c>
      <c r="B30" s="31" t="s">
        <v>63</v>
      </c>
      <c r="C30" s="32" t="s">
        <v>64</v>
      </c>
      <c r="D30" s="31">
        <v>2022</v>
      </c>
      <c r="E30" s="31"/>
      <c r="F30" s="43" t="s">
        <v>54</v>
      </c>
      <c r="G30" s="43">
        <v>0</v>
      </c>
      <c r="H30" s="43">
        <v>8.9099999999999999E-2</v>
      </c>
      <c r="I30" s="43">
        <v>6.4999999999999997E-4</v>
      </c>
      <c r="J30" s="34">
        <v>76017542</v>
      </c>
      <c r="K30" s="34">
        <v>6367583606125</v>
      </c>
      <c r="L30" s="34">
        <v>6306535903335</v>
      </c>
      <c r="M30" s="34">
        <v>2526696305277</v>
      </c>
      <c r="N30" s="34">
        <v>265887483966</v>
      </c>
      <c r="O30" s="34">
        <v>135846266277</v>
      </c>
      <c r="P30" s="34">
        <v>87580473882</v>
      </c>
      <c r="Q30" s="34">
        <v>191561590618</v>
      </c>
      <c r="R30" s="34">
        <v>131666018744</v>
      </c>
      <c r="S30" s="34">
        <v>5742973640590</v>
      </c>
      <c r="T30" s="34">
        <v>5909218030678</v>
      </c>
      <c r="U30" s="34">
        <v>9311020405</v>
      </c>
      <c r="V30" s="34">
        <v>62618445874</v>
      </c>
      <c r="W30" s="34">
        <v>6115115193463</v>
      </c>
      <c r="X30" s="31" t="s">
        <v>54</v>
      </c>
      <c r="Y30" s="31">
        <v>1</v>
      </c>
      <c r="Z30" s="31">
        <v>1</v>
      </c>
      <c r="AA30" s="34">
        <v>117529862884</v>
      </c>
      <c r="AB30" s="34">
        <v>924645232720</v>
      </c>
      <c r="AC30" s="31">
        <v>2037574195768</v>
      </c>
      <c r="AD30" s="34">
        <v>1602051072557</v>
      </c>
      <c r="AE30" s="34">
        <v>-543280457340</v>
      </c>
      <c r="AF30" s="34">
        <v>53044284159</v>
      </c>
      <c r="AG30" s="34">
        <v>-80566280155</v>
      </c>
      <c r="AH30" s="34">
        <v>74549476681</v>
      </c>
      <c r="AI30" s="34">
        <v>128755056886</v>
      </c>
      <c r="AJ30" s="34">
        <v>1733807215727</v>
      </c>
      <c r="AK30" s="34">
        <v>1473296015671</v>
      </c>
      <c r="AL30" s="33">
        <v>0.39579999999999999</v>
      </c>
      <c r="AM30" s="34">
        <v>476408772126</v>
      </c>
      <c r="AN30" s="34">
        <v>-655190672</v>
      </c>
      <c r="AO30" s="31">
        <v>1513</v>
      </c>
      <c r="AP30" s="31">
        <v>1331</v>
      </c>
      <c r="AQ30" s="34">
        <v>85780830852</v>
      </c>
      <c r="AR30" s="31">
        <v>13</v>
      </c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</row>
    <row r="31" spans="1:58" ht="31" x14ac:dyDescent="0.35">
      <c r="A31" s="31">
        <v>6</v>
      </c>
      <c r="B31" s="31" t="s">
        <v>63</v>
      </c>
      <c r="C31" s="32" t="s">
        <v>64</v>
      </c>
      <c r="D31" s="31">
        <v>2023</v>
      </c>
      <c r="E31" s="31"/>
      <c r="F31" s="43">
        <v>0.1855</v>
      </c>
      <c r="G31" s="43">
        <v>0</v>
      </c>
      <c r="H31" s="43">
        <v>8.9099999999999999E-2</v>
      </c>
      <c r="I31" s="43">
        <v>2.3900000000000001E-2</v>
      </c>
      <c r="J31" s="34">
        <v>89396463</v>
      </c>
      <c r="K31" s="34">
        <v>7385878456457</v>
      </c>
      <c r="L31" s="34">
        <v>7100782966457</v>
      </c>
      <c r="M31" s="34">
        <v>3657456636415</v>
      </c>
      <c r="N31" s="34">
        <v>307125628529</v>
      </c>
      <c r="O31" s="34">
        <v>112621604633</v>
      </c>
      <c r="P31" s="34">
        <v>86957270455</v>
      </c>
      <c r="Q31" s="34">
        <v>276509171936</v>
      </c>
      <c r="R31" s="34">
        <v>17083869964</v>
      </c>
      <c r="S31" s="34">
        <v>6670530272805</v>
      </c>
      <c r="T31" s="34">
        <v>6828245668302</v>
      </c>
      <c r="U31" s="34">
        <v>8210178475</v>
      </c>
      <c r="V31" s="34">
        <v>70462227321</v>
      </c>
      <c r="W31" s="34">
        <v>7110510296734</v>
      </c>
      <c r="X31" s="31" t="s">
        <v>54</v>
      </c>
      <c r="Y31" s="31">
        <v>1</v>
      </c>
      <c r="Z31" s="31">
        <v>1</v>
      </c>
      <c r="AA31" s="34">
        <v>44047120594</v>
      </c>
      <c r="AB31" s="34">
        <v>1074657805102</v>
      </c>
      <c r="AC31" s="31">
        <v>2616545075547</v>
      </c>
      <c r="AD31" s="34">
        <v>2582798831313</v>
      </c>
      <c r="AE31" s="34">
        <v>-643752878128</v>
      </c>
      <c r="AF31" s="34">
        <v>53127021506</v>
      </c>
      <c r="AG31" s="34">
        <v>-302908017638</v>
      </c>
      <c r="AH31" s="34">
        <v>61180164578</v>
      </c>
      <c r="AI31" s="34">
        <v>362495133189</v>
      </c>
      <c r="AJ31" s="34">
        <v>2591993219472</v>
      </c>
      <c r="AK31" s="34">
        <v>2220303698124</v>
      </c>
      <c r="AL31" s="33">
        <v>0.15989999999999999</v>
      </c>
      <c r="AM31" s="34">
        <v>613891376856</v>
      </c>
      <c r="AN31" s="34">
        <v>-21429454</v>
      </c>
      <c r="AO31" s="31">
        <v>517</v>
      </c>
      <c r="AP31" s="31">
        <v>1304</v>
      </c>
      <c r="AQ31" s="34">
        <v>100037213314</v>
      </c>
      <c r="AR31" s="31">
        <v>14</v>
      </c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</row>
    <row r="32" spans="1:58" ht="31" x14ac:dyDescent="0.35">
      <c r="A32" s="31">
        <v>6</v>
      </c>
      <c r="B32" s="31" t="s">
        <v>63</v>
      </c>
      <c r="C32" s="32" t="s">
        <v>64</v>
      </c>
      <c r="D32" s="31">
        <v>2024</v>
      </c>
      <c r="E32" s="31"/>
      <c r="F32" s="43">
        <v>0.1971</v>
      </c>
      <c r="G32" s="43">
        <v>0</v>
      </c>
      <c r="H32" s="43">
        <v>9.0200000000000002E-2</v>
      </c>
      <c r="I32" s="43">
        <v>3.2599999999999997E-2</v>
      </c>
      <c r="J32" s="34">
        <v>95653859</v>
      </c>
      <c r="K32" s="34">
        <v>8540961690726</v>
      </c>
      <c r="L32" s="34">
        <v>8174074326868</v>
      </c>
      <c r="M32" s="34">
        <v>3917631338920</v>
      </c>
      <c r="N32" s="34">
        <v>344271900792</v>
      </c>
      <c r="O32" s="34">
        <v>138426676792</v>
      </c>
      <c r="P32" s="34">
        <v>86700892376</v>
      </c>
      <c r="Q32" s="34">
        <v>307165929996</v>
      </c>
      <c r="R32" s="34">
        <v>40472906602</v>
      </c>
      <c r="S32" s="34">
        <v>7687809905157</v>
      </c>
      <c r="T32" s="34">
        <v>7700594710760</v>
      </c>
      <c r="U32" s="34">
        <v>9814221009</v>
      </c>
      <c r="V32" s="34">
        <v>84173859029</v>
      </c>
      <c r="W32" s="34">
        <v>8183205377929</v>
      </c>
      <c r="X32" s="31" t="s">
        <v>54</v>
      </c>
      <c r="Y32" s="31">
        <v>1</v>
      </c>
      <c r="Z32" s="31">
        <v>1</v>
      </c>
      <c r="AA32" s="34">
        <v>47935815171</v>
      </c>
      <c r="AB32" s="34">
        <v>1122512271252</v>
      </c>
      <c r="AC32" s="31">
        <v>2053018775717</v>
      </c>
      <c r="AD32" s="34">
        <v>2795119067668</v>
      </c>
      <c r="AE32" s="34">
        <v>-190468783742</v>
      </c>
      <c r="AF32" s="34">
        <v>19202229358</v>
      </c>
      <c r="AG32" s="34">
        <v>119707952612</v>
      </c>
      <c r="AH32" s="34">
        <v>69029863474</v>
      </c>
      <c r="AI32" s="34">
        <v>377160089085</v>
      </c>
      <c r="AJ32" s="34">
        <v>2780516388126</v>
      </c>
      <c r="AK32" s="34">
        <v>2417958978583</v>
      </c>
      <c r="AL32" s="33">
        <v>0.15640000000000001</v>
      </c>
      <c r="AM32" s="34">
        <v>613979287300</v>
      </c>
      <c r="AN32" s="34">
        <v>-4486498000</v>
      </c>
      <c r="AO32" s="31">
        <v>519</v>
      </c>
      <c r="AP32" s="31">
        <v>226</v>
      </c>
      <c r="AQ32" s="34">
        <v>122408998134</v>
      </c>
      <c r="AR32" s="31">
        <v>15</v>
      </c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</row>
    <row r="33" spans="1:58" ht="46.5" x14ac:dyDescent="0.35">
      <c r="A33" s="11">
        <v>7</v>
      </c>
      <c r="B33" s="11" t="s">
        <v>65</v>
      </c>
      <c r="C33" s="12" t="s">
        <v>66</v>
      </c>
      <c r="D33" s="11">
        <v>2020</v>
      </c>
      <c r="E33" s="11"/>
      <c r="F33" s="42">
        <v>4.6600000000000003E-2</v>
      </c>
      <c r="G33" s="42">
        <v>0.64959999999999996</v>
      </c>
      <c r="H33" s="42">
        <v>1.5699999999999999E-2</v>
      </c>
      <c r="I33" s="42">
        <v>2.9999999999999997E-4</v>
      </c>
      <c r="J33" s="16">
        <v>22500000</v>
      </c>
      <c r="K33" s="16">
        <v>3257213652230</v>
      </c>
      <c r="L33" s="16">
        <v>3256264345125</v>
      </c>
      <c r="M33" s="16">
        <v>1751237369125</v>
      </c>
      <c r="N33" s="16">
        <v>81032237120</v>
      </c>
      <c r="O33" s="16">
        <v>109525490949</v>
      </c>
      <c r="P33" s="16">
        <v>1295720205</v>
      </c>
      <c r="Q33" s="16">
        <v>657005660894</v>
      </c>
      <c r="R33" s="16">
        <v>70176049475</v>
      </c>
      <c r="S33" s="16">
        <v>1433887870836</v>
      </c>
      <c r="T33" s="16">
        <v>2890134925004</v>
      </c>
      <c r="U33" s="16">
        <v>183730754945</v>
      </c>
      <c r="V33" s="16">
        <v>511194477433</v>
      </c>
      <c r="W33" s="16">
        <v>3038323271126</v>
      </c>
      <c r="X33" s="16" t="s">
        <v>54</v>
      </c>
      <c r="Y33" s="16">
        <v>0</v>
      </c>
      <c r="Z33" s="11">
        <v>0</v>
      </c>
      <c r="AA33" s="16">
        <v>62238752160</v>
      </c>
      <c r="AB33" s="16">
        <v>477989806976</v>
      </c>
      <c r="AC33" s="16">
        <v>172440000000</v>
      </c>
      <c r="AD33" s="16">
        <v>1273247562149</v>
      </c>
      <c r="AE33" s="16">
        <v>163374441150</v>
      </c>
      <c r="AF33" s="16">
        <v>104389090380</v>
      </c>
      <c r="AG33" s="16">
        <v>-110947699451</v>
      </c>
      <c r="AH33" s="16">
        <v>44218004444</v>
      </c>
      <c r="AI33" s="16">
        <v>326293070887</v>
      </c>
      <c r="AJ33" s="16">
        <v>963187373809</v>
      </c>
      <c r="AK33" s="16">
        <v>946954491262</v>
      </c>
      <c r="AL33" s="29">
        <v>-0.23449999999999999</v>
      </c>
      <c r="AM33" s="16">
        <v>514036868557</v>
      </c>
      <c r="AN33" s="16">
        <v>-56058350947</v>
      </c>
      <c r="AO33" s="16">
        <v>2587</v>
      </c>
      <c r="AP33" s="16">
        <v>9699</v>
      </c>
      <c r="AQ33" s="16">
        <v>736529984178</v>
      </c>
      <c r="AR33" s="11">
        <v>59</v>
      </c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</row>
    <row r="34" spans="1:58" ht="46.5" x14ac:dyDescent="0.35">
      <c r="A34" s="11">
        <v>7</v>
      </c>
      <c r="B34" s="11" t="s">
        <v>65</v>
      </c>
      <c r="C34" s="12" t="s">
        <v>66</v>
      </c>
      <c r="D34" s="11">
        <v>2021</v>
      </c>
      <c r="E34" s="11"/>
      <c r="F34" s="42">
        <v>5.8299999999999998E-2</v>
      </c>
      <c r="G34" s="42">
        <v>0.61870000000000003</v>
      </c>
      <c r="H34" s="42">
        <v>1.44E-2</v>
      </c>
      <c r="I34" s="42">
        <v>2.9999999999999997E-4</v>
      </c>
      <c r="J34" s="16">
        <v>23625000</v>
      </c>
      <c r="K34" s="16">
        <v>3863898632011</v>
      </c>
      <c r="L34" s="16">
        <v>3863509584546</v>
      </c>
      <c r="M34" s="16">
        <v>2340764632271</v>
      </c>
      <c r="N34" s="16">
        <v>118787387348</v>
      </c>
      <c r="O34" s="16">
        <v>120010174501</v>
      </c>
      <c r="P34" s="16">
        <v>1865423414</v>
      </c>
      <c r="Q34" s="16">
        <v>684151566947</v>
      </c>
      <c r="R34" s="16">
        <v>218545540121</v>
      </c>
      <c r="S34" s="16">
        <v>1915354798927</v>
      </c>
      <c r="T34" s="16">
        <v>3762778212648</v>
      </c>
      <c r="U34" s="16">
        <v>373904283135</v>
      </c>
      <c r="V34" s="16">
        <v>553309393593</v>
      </c>
      <c r="W34" s="16">
        <v>3736186353494</v>
      </c>
      <c r="X34" s="16" t="s">
        <v>54</v>
      </c>
      <c r="Y34" s="16">
        <v>1</v>
      </c>
      <c r="Z34" s="11">
        <v>1</v>
      </c>
      <c r="AA34" s="16">
        <v>201452148101</v>
      </c>
      <c r="AB34" s="16">
        <v>653798668682</v>
      </c>
      <c r="AC34" s="16">
        <v>350476875000</v>
      </c>
      <c r="AD34" s="16">
        <v>1686965963589</v>
      </c>
      <c r="AE34" s="16">
        <v>14084391613</v>
      </c>
      <c r="AF34" s="16">
        <v>85830740555</v>
      </c>
      <c r="AG34" s="16">
        <v>-176815862301</v>
      </c>
      <c r="AH34" s="16">
        <v>58586417754</v>
      </c>
      <c r="AI34" s="16">
        <v>312096618293</v>
      </c>
      <c r="AJ34" s="16">
        <v>1605615707684</v>
      </c>
      <c r="AK34" s="16">
        <v>1374869345296</v>
      </c>
      <c r="AL34" s="29">
        <v>0.18640000000000001</v>
      </c>
      <c r="AM34" s="16">
        <v>857148182643</v>
      </c>
      <c r="AN34" s="16">
        <v>-33831798499.999996</v>
      </c>
      <c r="AO34" s="16">
        <v>7894</v>
      </c>
      <c r="AP34" s="16">
        <v>9807</v>
      </c>
      <c r="AQ34" s="16">
        <v>670989694477</v>
      </c>
      <c r="AR34" s="11">
        <v>60</v>
      </c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</row>
    <row r="35" spans="1:58" ht="46.5" x14ac:dyDescent="0.35">
      <c r="A35" s="11">
        <v>7</v>
      </c>
      <c r="B35" s="11" t="s">
        <v>65</v>
      </c>
      <c r="C35" s="12" t="s">
        <v>66</v>
      </c>
      <c r="D35" s="11">
        <v>2022</v>
      </c>
      <c r="E35" s="11"/>
      <c r="F35" s="42">
        <v>5.9700000000000003E-2</v>
      </c>
      <c r="G35" s="42">
        <v>0.61870000000000003</v>
      </c>
      <c r="H35" s="42">
        <v>1.4500000000000001E-2</v>
      </c>
      <c r="I35" s="42">
        <v>2.9999999999999997E-4</v>
      </c>
      <c r="J35" s="16">
        <v>30003075</v>
      </c>
      <c r="K35" s="16">
        <v>5178994729409</v>
      </c>
      <c r="L35" s="16">
        <v>5178537895876</v>
      </c>
      <c r="M35" s="16">
        <v>2413126402315</v>
      </c>
      <c r="N35" s="16">
        <v>127250606534</v>
      </c>
      <c r="O35" s="16">
        <v>152319897679</v>
      </c>
      <c r="P35" s="16">
        <v>2467378532</v>
      </c>
      <c r="Q35" s="16">
        <v>876598007730</v>
      </c>
      <c r="R35" s="16">
        <v>352159592391</v>
      </c>
      <c r="S35" s="16">
        <v>2746762361144</v>
      </c>
      <c r="T35" s="16">
        <v>4619985018812</v>
      </c>
      <c r="U35" s="16">
        <v>416214620311</v>
      </c>
      <c r="V35" s="16">
        <v>748803739802</v>
      </c>
      <c r="W35" s="16">
        <v>4954834595979</v>
      </c>
      <c r="X35" s="16" t="s">
        <v>54</v>
      </c>
      <c r="Y35" s="16">
        <v>1</v>
      </c>
      <c r="Z35" s="11">
        <v>1</v>
      </c>
      <c r="AA35" s="16">
        <v>284986120618</v>
      </c>
      <c r="AB35" s="16">
        <v>901438572938</v>
      </c>
      <c r="AC35" s="16">
        <v>477498938625</v>
      </c>
      <c r="AD35" s="16">
        <v>1511687829377</v>
      </c>
      <c r="AE35" s="16">
        <v>204247324116</v>
      </c>
      <c r="AF35" s="16">
        <v>139658530297</v>
      </c>
      <c r="AG35" s="16">
        <v>-155410562707</v>
      </c>
      <c r="AH35" s="16">
        <v>24500930736</v>
      </c>
      <c r="AI35" s="16">
        <v>273561290205.00003</v>
      </c>
      <c r="AJ35" s="16">
        <v>1619067077803</v>
      </c>
      <c r="AK35" s="16">
        <v>1238126539172</v>
      </c>
      <c r="AL35" s="29">
        <v>0.33160000000000001</v>
      </c>
      <c r="AM35" s="16">
        <v>912622775247</v>
      </c>
      <c r="AN35" s="16">
        <v>-26027744000</v>
      </c>
      <c r="AO35" s="16">
        <v>7146</v>
      </c>
      <c r="AP35" s="16">
        <v>10339</v>
      </c>
      <c r="AQ35" s="16">
        <v>700375819420</v>
      </c>
      <c r="AR35" s="11">
        <v>61</v>
      </c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</row>
    <row r="36" spans="1:58" ht="46.5" x14ac:dyDescent="0.35">
      <c r="A36" s="11">
        <v>7</v>
      </c>
      <c r="B36" s="11" t="s">
        <v>65</v>
      </c>
      <c r="C36" s="12" t="s">
        <v>66</v>
      </c>
      <c r="D36" s="11">
        <v>2023</v>
      </c>
      <c r="E36" s="11"/>
      <c r="F36" s="42">
        <v>5.5599999999999997E-2</v>
      </c>
      <c r="G36" s="42">
        <v>0.61870000000000003</v>
      </c>
      <c r="H36" s="42">
        <v>1.18E-2</v>
      </c>
      <c r="I36" s="42">
        <v>2.9999999999999997E-4</v>
      </c>
      <c r="J36" s="16">
        <v>36002708</v>
      </c>
      <c r="K36" s="16">
        <v>4703966718679</v>
      </c>
      <c r="L36" s="16">
        <v>4700209574052</v>
      </c>
      <c r="M36" s="16">
        <v>2507720745464</v>
      </c>
      <c r="N36" s="16">
        <v>84105696267</v>
      </c>
      <c r="O36" s="16">
        <v>158353864802</v>
      </c>
      <c r="P36" s="16">
        <v>1864249216</v>
      </c>
      <c r="Q36" s="16">
        <v>704369690325</v>
      </c>
      <c r="R36" s="16">
        <v>206841907687</v>
      </c>
      <c r="S36" s="16">
        <v>2371039795168</v>
      </c>
      <c r="T36" s="16">
        <v>4121411386414</v>
      </c>
      <c r="U36" s="16">
        <v>336696888370</v>
      </c>
      <c r="V36" s="16">
        <v>580415634787</v>
      </c>
      <c r="W36" s="16">
        <v>4348244727092</v>
      </c>
      <c r="X36" s="16" t="s">
        <v>54</v>
      </c>
      <c r="Y36" s="16">
        <v>1</v>
      </c>
      <c r="Z36" s="11">
        <v>1</v>
      </c>
      <c r="AA36" s="16">
        <v>169873401958</v>
      </c>
      <c r="AB36" s="16">
        <v>836806035780</v>
      </c>
      <c r="AC36" s="16">
        <v>938914621932</v>
      </c>
      <c r="AD36" s="16">
        <v>1670914709684</v>
      </c>
      <c r="AE36" s="16">
        <v>364690740295</v>
      </c>
      <c r="AF36" s="16">
        <v>94061016664</v>
      </c>
      <c r="AG36" s="16">
        <v>-120230820716</v>
      </c>
      <c r="AH36" s="16">
        <v>210985575944</v>
      </c>
      <c r="AI36" s="16">
        <v>229450029601</v>
      </c>
      <c r="AJ36" s="16">
        <v>1761375593537</v>
      </c>
      <c r="AK36" s="16">
        <v>1441464680083</v>
      </c>
      <c r="AL36" s="29">
        <v>-9.2399999999999996E-2</v>
      </c>
      <c r="AM36" s="16">
        <v>765957784829</v>
      </c>
      <c r="AN36" s="16">
        <v>-120499545500</v>
      </c>
      <c r="AO36" s="16">
        <v>4444</v>
      </c>
      <c r="AP36" s="16">
        <v>10133</v>
      </c>
      <c r="AQ36" s="16">
        <v>663880001252</v>
      </c>
      <c r="AR36" s="11">
        <v>62</v>
      </c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</row>
    <row r="37" spans="1:58" ht="46.5" x14ac:dyDescent="0.35">
      <c r="A37" s="11">
        <v>7</v>
      </c>
      <c r="B37" s="11" t="s">
        <v>65</v>
      </c>
      <c r="C37" s="12" t="s">
        <v>66</v>
      </c>
      <c r="D37" s="11">
        <v>2024</v>
      </c>
      <c r="E37" s="11"/>
      <c r="F37" s="42">
        <v>7.9399999999999998E-2</v>
      </c>
      <c r="G37" s="42">
        <v>0.61870000000000003</v>
      </c>
      <c r="H37" s="42">
        <v>1.18E-2</v>
      </c>
      <c r="I37" s="42">
        <v>2.0000000000000001E-4</v>
      </c>
      <c r="J37" s="16">
        <v>36002708</v>
      </c>
      <c r="K37" s="16">
        <v>5111153311349</v>
      </c>
      <c r="L37" s="16">
        <v>5102928678811</v>
      </c>
      <c r="M37" s="16">
        <v>2922215616846</v>
      </c>
      <c r="N37" s="16">
        <v>109491732853</v>
      </c>
      <c r="O37" s="16">
        <v>181620716393</v>
      </c>
      <c r="P37" s="16">
        <v>1552068481</v>
      </c>
      <c r="Q37" s="16">
        <v>751263285787</v>
      </c>
      <c r="R37" s="16">
        <v>334518451106</v>
      </c>
      <c r="S37" s="16">
        <v>2632163898063</v>
      </c>
      <c r="T37" s="16">
        <v>4532814507529</v>
      </c>
      <c r="U37" s="16">
        <v>338134768457</v>
      </c>
      <c r="V37" s="16">
        <v>625961594773</v>
      </c>
      <c r="W37" s="16">
        <v>4762014816728</v>
      </c>
      <c r="X37" s="16" t="s">
        <v>54</v>
      </c>
      <c r="Y37" s="16">
        <v>1</v>
      </c>
      <c r="Z37" s="11">
        <v>1</v>
      </c>
      <c r="AA37" s="16">
        <v>282504099078</v>
      </c>
      <c r="AB37" s="16">
        <v>923964139539</v>
      </c>
      <c r="AC37" s="16">
        <v>1635026981112</v>
      </c>
      <c r="AD37" s="16">
        <v>1998251477307</v>
      </c>
      <c r="AE37" s="16">
        <v>389669316046</v>
      </c>
      <c r="AF37" s="16">
        <v>184586053935</v>
      </c>
      <c r="AG37" s="16">
        <v>-226855870926</v>
      </c>
      <c r="AH37" s="16">
        <v>467127892045</v>
      </c>
      <c r="AI37" s="16">
        <v>208174685985</v>
      </c>
      <c r="AJ37" s="16">
        <v>2095059428168</v>
      </c>
      <c r="AK37" s="16">
        <v>1790076791322</v>
      </c>
      <c r="AL37" s="29">
        <v>8.5699999999999998E-2</v>
      </c>
      <c r="AM37" s="16">
        <v>788055765802</v>
      </c>
      <c r="AN37" s="16">
        <v>-159880227000</v>
      </c>
      <c r="AO37" s="16">
        <v>6634</v>
      </c>
      <c r="AP37" s="16">
        <v>9631</v>
      </c>
      <c r="AQ37" s="16">
        <v>741857629190</v>
      </c>
      <c r="AR37" s="11">
        <v>63</v>
      </c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</row>
    <row r="38" spans="1:58" ht="31" x14ac:dyDescent="0.35">
      <c r="A38" s="31">
        <v>8</v>
      </c>
      <c r="B38" s="31" t="s">
        <v>67</v>
      </c>
      <c r="C38" s="32" t="s">
        <v>68</v>
      </c>
      <c r="D38" s="31">
        <v>2020</v>
      </c>
      <c r="E38" s="31"/>
      <c r="F38" s="33">
        <v>0.1070004</v>
      </c>
      <c r="G38" s="43">
        <v>0</v>
      </c>
      <c r="H38" s="44" t="s">
        <v>54</v>
      </c>
      <c r="I38" s="43">
        <v>3.0999999999999999E-3</v>
      </c>
      <c r="J38" s="34">
        <v>91107067</v>
      </c>
      <c r="K38" s="34">
        <v>5562192633629</v>
      </c>
      <c r="L38" s="34">
        <v>5360118267509</v>
      </c>
      <c r="M38" s="34">
        <v>4504778128346</v>
      </c>
      <c r="N38" s="34">
        <v>291082539110</v>
      </c>
      <c r="O38" s="34">
        <v>144868999019</v>
      </c>
      <c r="P38" s="34">
        <v>16206317738</v>
      </c>
      <c r="Q38" s="34">
        <v>437503691801</v>
      </c>
      <c r="R38" s="34">
        <v>124370321543</v>
      </c>
      <c r="S38" s="34">
        <v>2434804598013</v>
      </c>
      <c r="T38" s="34">
        <v>4648590578635</v>
      </c>
      <c r="U38" s="34">
        <v>9379090284</v>
      </c>
      <c r="V38" s="34">
        <v>248641746139</v>
      </c>
      <c r="W38" s="34">
        <v>3137918952870</v>
      </c>
      <c r="X38" s="34" t="s">
        <v>54</v>
      </c>
      <c r="Y38" s="31">
        <v>1</v>
      </c>
      <c r="Z38" s="31">
        <v>1</v>
      </c>
      <c r="AA38" s="34">
        <v>89506808314</v>
      </c>
      <c r="AB38" s="34">
        <v>1322729831815</v>
      </c>
      <c r="AC38" s="31">
        <v>574156736234</v>
      </c>
      <c r="AD38" s="34">
        <v>3182048296531</v>
      </c>
      <c r="AE38" s="34">
        <v>252808170755</v>
      </c>
      <c r="AF38" s="34">
        <v>166640222844</v>
      </c>
      <c r="AG38" s="34">
        <v>-138919664588</v>
      </c>
      <c r="AH38" s="34">
        <v>227057158023</v>
      </c>
      <c r="AI38" s="34">
        <v>213104392151</v>
      </c>
      <c r="AJ38" s="34">
        <v>3424719897446</v>
      </c>
      <c r="AK38" s="34">
        <v>2968943904380</v>
      </c>
      <c r="AL38" s="33">
        <v>0.11</v>
      </c>
      <c r="AM38" s="34">
        <v>1053176293319</v>
      </c>
      <c r="AN38" s="34">
        <v>-43384660500</v>
      </c>
      <c r="AO38" s="34">
        <v>484</v>
      </c>
      <c r="AP38" s="34">
        <v>1825</v>
      </c>
      <c r="AQ38" s="34">
        <v>675971484182</v>
      </c>
      <c r="AR38" s="34">
        <v>22</v>
      </c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</row>
    <row r="39" spans="1:58" ht="31" x14ac:dyDescent="0.35">
      <c r="A39" s="31">
        <v>8</v>
      </c>
      <c r="B39" s="31" t="s">
        <v>67</v>
      </c>
      <c r="C39" s="32" t="s">
        <v>68</v>
      </c>
      <c r="D39" s="31">
        <v>2021</v>
      </c>
      <c r="E39" s="31"/>
      <c r="F39" s="31" t="s">
        <v>54</v>
      </c>
      <c r="G39" s="43">
        <v>0</v>
      </c>
      <c r="H39" s="44" t="s">
        <v>54</v>
      </c>
      <c r="I39" s="43">
        <v>1.8E-3</v>
      </c>
      <c r="J39" s="34">
        <v>100216847</v>
      </c>
      <c r="K39" s="34">
        <v>7260803805751</v>
      </c>
      <c r="L39" s="34">
        <v>7074612696137</v>
      </c>
      <c r="M39" s="34">
        <v>5907405173007</v>
      </c>
      <c r="N39" s="34">
        <v>364726161774</v>
      </c>
      <c r="O39" s="34">
        <v>163348079606</v>
      </c>
      <c r="P39" s="34">
        <v>16218735917</v>
      </c>
      <c r="Q39" s="34">
        <v>671751424453</v>
      </c>
      <c r="R39" s="34">
        <v>182474832684</v>
      </c>
      <c r="S39" s="34">
        <v>4118734810823</v>
      </c>
      <c r="T39" s="34">
        <v>6776027288866</v>
      </c>
      <c r="U39" s="34">
        <v>11857256247</v>
      </c>
      <c r="V39" s="34">
        <v>409162884273</v>
      </c>
      <c r="W39" s="34">
        <v>5102354629120</v>
      </c>
      <c r="X39" s="34" t="s">
        <v>54</v>
      </c>
      <c r="Y39" s="31">
        <v>1</v>
      </c>
      <c r="Z39" s="31">
        <v>1</v>
      </c>
      <c r="AA39" s="34">
        <v>136682299581</v>
      </c>
      <c r="AB39" s="34">
        <v>1364398057274</v>
      </c>
      <c r="AC39" s="31">
        <v>1388103547797</v>
      </c>
      <c r="AD39" s="34">
        <v>4543007115733</v>
      </c>
      <c r="AE39" s="34">
        <v>-230055620364</v>
      </c>
      <c r="AF39" s="34">
        <v>105449428561</v>
      </c>
      <c r="AG39" s="34">
        <v>-211633173173</v>
      </c>
      <c r="AH39" s="34">
        <v>173879995491</v>
      </c>
      <c r="AI39" s="34">
        <v>480143513942</v>
      </c>
      <c r="AJ39" s="34">
        <v>4657232545178</v>
      </c>
      <c r="AK39" s="34">
        <v>4062863601791</v>
      </c>
      <c r="AL39" s="33">
        <v>0.31</v>
      </c>
      <c r="AM39" s="34">
        <v>1628148408354</v>
      </c>
      <c r="AN39" s="34">
        <v>-78871947353</v>
      </c>
      <c r="AO39" s="34">
        <v>888</v>
      </c>
      <c r="AP39" s="34">
        <v>2118</v>
      </c>
      <c r="AQ39" s="34">
        <v>654778448711</v>
      </c>
      <c r="AR39" s="34">
        <v>23</v>
      </c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</row>
    <row r="40" spans="1:58" ht="31" x14ac:dyDescent="0.35">
      <c r="A40" s="31">
        <v>8</v>
      </c>
      <c r="B40" s="31" t="s">
        <v>67</v>
      </c>
      <c r="C40" s="32" t="s">
        <v>68</v>
      </c>
      <c r="D40" s="31">
        <v>2022</v>
      </c>
      <c r="E40" s="31"/>
      <c r="F40" s="31" t="s">
        <v>54</v>
      </c>
      <c r="G40" s="43">
        <v>0</v>
      </c>
      <c r="H40" s="44" t="s">
        <v>54</v>
      </c>
      <c r="I40" s="43">
        <v>1.1000000000000001E-3</v>
      </c>
      <c r="J40" s="34">
        <v>169950000</v>
      </c>
      <c r="K40" s="34">
        <v>8214248495304</v>
      </c>
      <c r="L40" s="34">
        <v>7977478885843</v>
      </c>
      <c r="M40" s="34">
        <v>7330796432276</v>
      </c>
      <c r="N40" s="34">
        <v>351669824574</v>
      </c>
      <c r="O40" s="34">
        <v>176952473742</v>
      </c>
      <c r="P40" s="34">
        <v>15437763094</v>
      </c>
      <c r="Q40" s="34">
        <v>625678770302</v>
      </c>
      <c r="R40" s="34">
        <v>122308079279</v>
      </c>
      <c r="S40" s="34">
        <v>4430399812061</v>
      </c>
      <c r="T40" s="34">
        <v>7182355022678</v>
      </c>
      <c r="U40" s="34">
        <v>22580435797</v>
      </c>
      <c r="V40" s="34">
        <v>370535259815</v>
      </c>
      <c r="W40" s="34">
        <v>5350753584504</v>
      </c>
      <c r="X40" s="34" t="s">
        <v>54</v>
      </c>
      <c r="Y40" s="31">
        <v>1</v>
      </c>
      <c r="Z40" s="31">
        <v>1</v>
      </c>
      <c r="AA40" s="34">
        <v>87256493352</v>
      </c>
      <c r="AB40" s="34">
        <v>1960441341303</v>
      </c>
      <c r="AC40" s="31">
        <v>2418898350000</v>
      </c>
      <c r="AD40" s="34">
        <v>5370355090973</v>
      </c>
      <c r="AE40" s="34">
        <v>-192271781692</v>
      </c>
      <c r="AF40" s="34">
        <v>1136108307172</v>
      </c>
      <c r="AG40" s="34">
        <v>-1147711098452</v>
      </c>
      <c r="AH40" s="34">
        <v>183916538854</v>
      </c>
      <c r="AI40" s="34">
        <v>603329041033</v>
      </c>
      <c r="AJ40" s="34">
        <v>5592427754449</v>
      </c>
      <c r="AK40" s="34">
        <v>4767026049940</v>
      </c>
      <c r="AL40" s="33">
        <v>0.13</v>
      </c>
      <c r="AM40" s="34">
        <v>1734810426539</v>
      </c>
      <c r="AN40" s="34">
        <v>-20287730993</v>
      </c>
      <c r="AO40" s="34">
        <v>382</v>
      </c>
      <c r="AP40" s="34">
        <v>2075</v>
      </c>
      <c r="AQ40" s="34">
        <v>675288798218</v>
      </c>
      <c r="AR40" s="34">
        <v>24</v>
      </c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</row>
    <row r="41" spans="1:58" ht="31" x14ac:dyDescent="0.35">
      <c r="A41" s="31">
        <v>8</v>
      </c>
      <c r="B41" s="31" t="s">
        <v>67</v>
      </c>
      <c r="C41" s="32" t="s">
        <v>68</v>
      </c>
      <c r="D41" s="31">
        <v>2023</v>
      </c>
      <c r="E41" s="31"/>
      <c r="F41" s="33">
        <v>0.1070004</v>
      </c>
      <c r="G41" s="43">
        <v>0</v>
      </c>
      <c r="H41" s="44" t="s">
        <v>54</v>
      </c>
      <c r="I41" s="43">
        <v>1.1000000000000001E-3</v>
      </c>
      <c r="J41" s="34">
        <v>161857589</v>
      </c>
      <c r="K41" s="34">
        <v>9780654605019</v>
      </c>
      <c r="L41" s="34">
        <v>9605345279055</v>
      </c>
      <c r="M41" s="34">
        <v>7581785262691</v>
      </c>
      <c r="N41" s="34">
        <v>287175971417</v>
      </c>
      <c r="O41" s="34">
        <v>162017630666</v>
      </c>
      <c r="P41" s="34">
        <v>452109308921</v>
      </c>
      <c r="Q41" s="34">
        <v>497601536674</v>
      </c>
      <c r="R41" s="34">
        <v>106659640926</v>
      </c>
      <c r="S41" s="34">
        <v>4555396761526</v>
      </c>
      <c r="T41" s="34">
        <v>8252436606917</v>
      </c>
      <c r="U41" s="34">
        <v>7288412410</v>
      </c>
      <c r="V41" s="34">
        <v>297374498914</v>
      </c>
      <c r="W41" s="34">
        <v>5304688472699</v>
      </c>
      <c r="X41" s="34" t="s">
        <v>54</v>
      </c>
      <c r="Y41" s="31">
        <v>1</v>
      </c>
      <c r="Z41" s="31">
        <v>1</v>
      </c>
      <c r="AA41" s="34">
        <v>59089568364</v>
      </c>
      <c r="AB41" s="34">
        <v>2007417766420</v>
      </c>
      <c r="AC41" s="31">
        <v>2095732062372</v>
      </c>
      <c r="AD41" s="34">
        <v>5574367496271</v>
      </c>
      <c r="AE41" s="34">
        <v>236404715440</v>
      </c>
      <c r="AF41" s="34">
        <v>388648753318</v>
      </c>
      <c r="AG41" s="34">
        <v>-432535712977</v>
      </c>
      <c r="AH41" s="34">
        <v>79184958927</v>
      </c>
      <c r="AI41" s="34">
        <v>710604022691</v>
      </c>
      <c r="AJ41" s="34">
        <v>5610598077038</v>
      </c>
      <c r="AK41" s="34">
        <v>4863763473580</v>
      </c>
      <c r="AL41" s="33">
        <v>0.19069378173919355</v>
      </c>
      <c r="AM41" s="34">
        <v>1218736777919</v>
      </c>
      <c r="AN41" s="34">
        <v>-4275211087</v>
      </c>
      <c r="AO41" s="34">
        <v>102</v>
      </c>
      <c r="AP41" s="34">
        <v>477</v>
      </c>
      <c r="AQ41" s="34">
        <v>623335763659</v>
      </c>
      <c r="AR41" s="34">
        <v>25</v>
      </c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</row>
    <row r="42" spans="1:58" ht="31" x14ac:dyDescent="0.35">
      <c r="A42" s="31">
        <v>8</v>
      </c>
      <c r="B42" s="31" t="s">
        <v>67</v>
      </c>
      <c r="C42" s="32" t="s">
        <v>68</v>
      </c>
      <c r="D42" s="31">
        <v>2024</v>
      </c>
      <c r="E42" s="31"/>
      <c r="F42" s="33">
        <v>0.1070004</v>
      </c>
      <c r="G42" s="43">
        <v>0</v>
      </c>
      <c r="H42" s="43">
        <v>0.18509999999999999</v>
      </c>
      <c r="I42" s="43">
        <v>3.0999999999999999E-3</v>
      </c>
      <c r="J42" s="34">
        <v>161857589</v>
      </c>
      <c r="K42" s="34">
        <v>11425650934981</v>
      </c>
      <c r="L42" s="34">
        <v>11257066116591</v>
      </c>
      <c r="M42" s="34">
        <v>9453438472289</v>
      </c>
      <c r="N42" s="34">
        <v>379011339754</v>
      </c>
      <c r="O42" s="34">
        <v>181975504820</v>
      </c>
      <c r="P42" s="34">
        <v>487027783731</v>
      </c>
      <c r="Q42" s="34">
        <v>596787025980</v>
      </c>
      <c r="R42" s="34">
        <v>112998492416</v>
      </c>
      <c r="S42" s="34">
        <v>3556891225184</v>
      </c>
      <c r="T42" s="34">
        <v>10467193627660</v>
      </c>
      <c r="U42" s="34">
        <v>4380576881</v>
      </c>
      <c r="V42" s="34">
        <v>425822642721</v>
      </c>
      <c r="W42" s="34">
        <v>4412710904632</v>
      </c>
      <c r="X42" s="34" t="s">
        <v>54</v>
      </c>
      <c r="Y42" s="31">
        <v>1</v>
      </c>
      <c r="Z42" s="31">
        <v>1</v>
      </c>
      <c r="AA42" s="34">
        <v>108368553705</v>
      </c>
      <c r="AB42" s="34">
        <v>2102297644325</v>
      </c>
      <c r="AC42" s="31">
        <v>2427054547055</v>
      </c>
      <c r="AD42" s="34">
        <v>7351140827964</v>
      </c>
      <c r="AE42" s="34">
        <v>8469076922</v>
      </c>
      <c r="AF42" s="34">
        <v>639204234602</v>
      </c>
      <c r="AG42" s="34">
        <v>-578804901047</v>
      </c>
      <c r="AH42" s="34">
        <v>102786809902</v>
      </c>
      <c r="AI42" s="34">
        <v>1002370077404</v>
      </c>
      <c r="AJ42" s="34">
        <v>7267564574280</v>
      </c>
      <c r="AK42" s="34">
        <v>6348770750560</v>
      </c>
      <c r="AL42" s="33">
        <v>0.16818877635428006</v>
      </c>
      <c r="AM42" s="34">
        <v>1380176539305</v>
      </c>
      <c r="AN42" s="34">
        <v>-1931380994</v>
      </c>
      <c r="AO42" s="34">
        <v>476</v>
      </c>
      <c r="AP42" s="34">
        <v>1641</v>
      </c>
      <c r="AQ42" s="34">
        <v>558110267811</v>
      </c>
      <c r="AR42" s="34">
        <v>26</v>
      </c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</row>
    <row r="43" spans="1:58" ht="46.5" x14ac:dyDescent="0.35">
      <c r="A43" s="11">
        <v>9</v>
      </c>
      <c r="B43" s="11" t="s">
        <v>69</v>
      </c>
      <c r="C43" s="12" t="s">
        <v>70</v>
      </c>
      <c r="D43" s="11">
        <v>2020</v>
      </c>
      <c r="E43" s="11"/>
      <c r="F43" s="45">
        <v>0.3397</v>
      </c>
      <c r="G43" s="45" t="s">
        <v>54</v>
      </c>
      <c r="H43" s="45">
        <v>1E-4</v>
      </c>
      <c r="I43" s="45">
        <v>1.9699999999999999E-2</v>
      </c>
      <c r="J43" s="17">
        <v>5236023</v>
      </c>
      <c r="K43" s="17">
        <v>376790734834</v>
      </c>
      <c r="L43" s="17">
        <v>375710311234</v>
      </c>
      <c r="M43" s="17">
        <v>116246847630</v>
      </c>
      <c r="N43" s="17">
        <v>8980366564</v>
      </c>
      <c r="O43" s="17">
        <v>23731375160</v>
      </c>
      <c r="P43" s="17">
        <v>27810484</v>
      </c>
      <c r="Q43" s="17">
        <v>27091705363</v>
      </c>
      <c r="R43" s="22">
        <v>36387227378</v>
      </c>
      <c r="S43" s="22">
        <v>278628081342</v>
      </c>
      <c r="T43" s="17">
        <v>302102151441</v>
      </c>
      <c r="U43" s="17">
        <v>1048296168</v>
      </c>
      <c r="V43" s="17">
        <v>15632133419</v>
      </c>
      <c r="W43" s="17">
        <v>334234670383</v>
      </c>
      <c r="X43" s="19" t="s">
        <v>54</v>
      </c>
      <c r="Y43" s="19">
        <v>0</v>
      </c>
      <c r="Z43" s="19">
        <v>1</v>
      </c>
      <c r="AA43" s="17">
        <v>30116336512</v>
      </c>
      <c r="AB43" s="17">
        <v>85879995347</v>
      </c>
      <c r="AC43" s="17">
        <v>52841944116</v>
      </c>
      <c r="AD43" s="17">
        <v>30366852283</v>
      </c>
      <c r="AE43" s="17">
        <v>27704014283</v>
      </c>
      <c r="AF43" s="17">
        <v>21261736964</v>
      </c>
      <c r="AG43" s="17">
        <v>-20290696497</v>
      </c>
      <c r="AH43" s="17">
        <v>39632790637</v>
      </c>
      <c r="AI43" s="17">
        <v>26850000</v>
      </c>
      <c r="AJ43" s="17">
        <v>76364131676</v>
      </c>
      <c r="AK43" s="17">
        <v>30366852283</v>
      </c>
      <c r="AL43" s="45">
        <v>-0.15110000000000001</v>
      </c>
      <c r="AM43" s="17">
        <v>11505873997</v>
      </c>
      <c r="AN43" s="17">
        <v>-18326080500</v>
      </c>
      <c r="AO43" s="17">
        <v>5292</v>
      </c>
      <c r="AP43" s="19">
        <v>500</v>
      </c>
      <c r="AQ43" s="17">
        <v>23881820663</v>
      </c>
      <c r="AR43" s="19">
        <v>48</v>
      </c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</row>
    <row r="44" spans="1:58" ht="46.5" x14ac:dyDescent="0.35">
      <c r="A44" s="11">
        <v>9</v>
      </c>
      <c r="B44" s="11" t="s">
        <v>69</v>
      </c>
      <c r="C44" s="12" t="s">
        <v>70</v>
      </c>
      <c r="D44" s="11">
        <v>2021</v>
      </c>
      <c r="E44" s="11"/>
      <c r="F44" s="45">
        <v>0.34289999999999998</v>
      </c>
      <c r="G44" s="45" t="s">
        <v>54</v>
      </c>
      <c r="H44" s="45">
        <v>1E-4</v>
      </c>
      <c r="I44" s="45">
        <v>1.8100000000000002E-2</v>
      </c>
      <c r="J44" s="17">
        <v>5236023</v>
      </c>
      <c r="K44" s="17">
        <v>519482152543</v>
      </c>
      <c r="L44" s="17">
        <v>517968805443</v>
      </c>
      <c r="M44" s="17">
        <v>152685948977</v>
      </c>
      <c r="N44" s="17">
        <v>12454302686</v>
      </c>
      <c r="O44" s="17">
        <v>17777272058</v>
      </c>
      <c r="P44" s="19">
        <v>0</v>
      </c>
      <c r="Q44" s="17">
        <v>31312923205</v>
      </c>
      <c r="R44" s="22">
        <v>67053910352</v>
      </c>
      <c r="S44" s="17">
        <v>366202921153</v>
      </c>
      <c r="T44" s="17">
        <v>423831383474</v>
      </c>
      <c r="U44" s="17">
        <v>2062836822</v>
      </c>
      <c r="V44" s="17">
        <v>15470866261</v>
      </c>
      <c r="W44" s="17">
        <v>421038532251</v>
      </c>
      <c r="X44" s="19" t="s">
        <v>54</v>
      </c>
      <c r="Y44" s="19">
        <v>0</v>
      </c>
      <c r="Z44" s="19">
        <v>1</v>
      </c>
      <c r="AA44" s="17">
        <v>57251127630</v>
      </c>
      <c r="AB44" s="17">
        <v>119476560691</v>
      </c>
      <c r="AC44" s="17">
        <v>127517504142</v>
      </c>
      <c r="AD44" s="17">
        <v>33209388286</v>
      </c>
      <c r="AE44" s="17">
        <v>82442432104</v>
      </c>
      <c r="AF44" s="17">
        <v>22894718442</v>
      </c>
      <c r="AG44" s="17">
        <v>-22183647577</v>
      </c>
      <c r="AH44" s="17">
        <v>78943429566</v>
      </c>
      <c r="AI44" s="17">
        <v>26850000</v>
      </c>
      <c r="AJ44" s="17">
        <v>100667134097</v>
      </c>
      <c r="AK44" s="17">
        <v>33182538286</v>
      </c>
      <c r="AL44" s="45">
        <v>0.37869999999999998</v>
      </c>
      <c r="AM44" s="17">
        <v>15167059038</v>
      </c>
      <c r="AN44" s="17">
        <v>-20944092000</v>
      </c>
      <c r="AO44" s="17">
        <v>10059</v>
      </c>
      <c r="AP44" s="19">
        <v>603</v>
      </c>
      <c r="AQ44" s="17">
        <v>47842022151</v>
      </c>
      <c r="AR44" s="19">
        <v>49</v>
      </c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</row>
    <row r="45" spans="1:58" ht="46.5" x14ac:dyDescent="0.35">
      <c r="A45" s="11">
        <v>9</v>
      </c>
      <c r="B45" s="11" t="s">
        <v>69</v>
      </c>
      <c r="C45" s="12" t="s">
        <v>70</v>
      </c>
      <c r="D45" s="11">
        <v>2022</v>
      </c>
      <c r="E45" s="11"/>
      <c r="F45" s="45">
        <v>0.23730000000000001</v>
      </c>
      <c r="G45" s="45" t="s">
        <v>54</v>
      </c>
      <c r="H45" s="45">
        <v>6.9999999999999994E-5</v>
      </c>
      <c r="I45" s="45">
        <v>6.0000000000000001E-3</v>
      </c>
      <c r="J45" s="17">
        <v>7853968</v>
      </c>
      <c r="K45" s="17">
        <v>657022543534</v>
      </c>
      <c r="L45" s="22">
        <v>657022543534</v>
      </c>
      <c r="M45" s="22">
        <v>233020523972</v>
      </c>
      <c r="N45" s="22">
        <v>30647257188</v>
      </c>
      <c r="O45" s="17">
        <v>22357549443</v>
      </c>
      <c r="P45" s="19">
        <v>0</v>
      </c>
      <c r="Q45" s="17">
        <v>70626489242</v>
      </c>
      <c r="R45" s="22">
        <v>127616734141</v>
      </c>
      <c r="S45" s="22">
        <v>384554576757</v>
      </c>
      <c r="T45" s="17">
        <v>480954638305</v>
      </c>
      <c r="U45" s="17">
        <v>2500844390</v>
      </c>
      <c r="V45" s="17">
        <v>40187278972</v>
      </c>
      <c r="W45" s="17">
        <v>532813804308</v>
      </c>
      <c r="X45" s="19" t="s">
        <v>54</v>
      </c>
      <c r="Y45" s="19">
        <v>0</v>
      </c>
      <c r="Z45" s="19">
        <v>1</v>
      </c>
      <c r="AA45" s="17">
        <v>106050406628</v>
      </c>
      <c r="AB45" s="17">
        <v>194194250832</v>
      </c>
      <c r="AC45" s="17">
        <v>249795452240</v>
      </c>
      <c r="AD45" s="17">
        <v>38826273140</v>
      </c>
      <c r="AE45" s="17">
        <v>104750970132</v>
      </c>
      <c r="AF45" s="17">
        <v>5335741467</v>
      </c>
      <c r="AG45" s="17">
        <v>-4350864597</v>
      </c>
      <c r="AH45" s="17">
        <v>153562737459</v>
      </c>
      <c r="AI45" s="17">
        <v>26850000</v>
      </c>
      <c r="AJ45" s="22">
        <v>188515183067</v>
      </c>
      <c r="AK45" s="22">
        <v>38799423140</v>
      </c>
      <c r="AL45" s="46">
        <v>0.26479999999999998</v>
      </c>
      <c r="AM45" s="22">
        <v>17146104503</v>
      </c>
      <c r="AN45" s="17">
        <v>-26180115000</v>
      </c>
      <c r="AO45" s="17">
        <v>12558</v>
      </c>
      <c r="AP45" s="19">
        <v>542</v>
      </c>
      <c r="AQ45" s="17">
        <v>38021917787</v>
      </c>
      <c r="AR45" s="19">
        <v>50</v>
      </c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</row>
    <row r="46" spans="1:58" ht="46.5" x14ac:dyDescent="0.35">
      <c r="A46" s="11">
        <v>9</v>
      </c>
      <c r="B46" s="11" t="s">
        <v>69</v>
      </c>
      <c r="C46" s="12" t="s">
        <v>70</v>
      </c>
      <c r="D46" s="11">
        <v>2023</v>
      </c>
      <c r="E46" s="11"/>
      <c r="F46" s="45">
        <v>0.23910000000000001</v>
      </c>
      <c r="G46" s="45" t="s">
        <v>54</v>
      </c>
      <c r="H46" s="45">
        <f>0.0076</f>
        <v>7.6E-3</v>
      </c>
      <c r="I46" s="45">
        <v>1.2200000000000001E-2</v>
      </c>
      <c r="J46" s="17">
        <v>10052920</v>
      </c>
      <c r="K46" s="17">
        <v>612296635735</v>
      </c>
      <c r="L46" s="17">
        <v>611388119235</v>
      </c>
      <c r="M46" s="17">
        <v>292173826555</v>
      </c>
      <c r="N46" s="17">
        <v>34064689216</v>
      </c>
      <c r="O46" s="17">
        <v>23534193568</v>
      </c>
      <c r="P46" s="19">
        <v>0</v>
      </c>
      <c r="Q46" s="17">
        <v>78416236907</v>
      </c>
      <c r="R46" s="22">
        <v>132224916514</v>
      </c>
      <c r="S46" s="17">
        <v>361086350143</v>
      </c>
      <c r="T46" s="17">
        <v>444386545276</v>
      </c>
      <c r="U46" s="17">
        <v>2399315891</v>
      </c>
      <c r="V46" s="17">
        <v>50632663104</v>
      </c>
      <c r="W46" s="17">
        <v>505025588655</v>
      </c>
      <c r="X46" s="19" t="s">
        <v>54</v>
      </c>
      <c r="Y46" s="19">
        <v>0</v>
      </c>
      <c r="Z46" s="19">
        <v>1</v>
      </c>
      <c r="AA46" s="17">
        <v>114408909365</v>
      </c>
      <c r="AB46" s="17">
        <v>265011466133</v>
      </c>
      <c r="AC46" s="17">
        <v>463529604280</v>
      </c>
      <c r="AD46" s="17">
        <v>27162360422</v>
      </c>
      <c r="AE46" s="17">
        <v>80392616731</v>
      </c>
      <c r="AF46" s="17">
        <v>6634701967</v>
      </c>
      <c r="AG46" s="17">
        <v>-120103551749</v>
      </c>
      <c r="AH46" s="17">
        <v>80955321149</v>
      </c>
      <c r="AI46" s="17">
        <v>26850000</v>
      </c>
      <c r="AJ46" s="22">
        <v>256041298361</v>
      </c>
      <c r="AK46" s="17">
        <v>27135510422</v>
      </c>
      <c r="AL46" s="45">
        <v>-6.8099999999999994E-2</v>
      </c>
      <c r="AM46" s="17">
        <v>31494321598</v>
      </c>
      <c r="AN46" s="17">
        <v>-32972381400</v>
      </c>
      <c r="AO46" s="17">
        <v>10584</v>
      </c>
      <c r="AP46" s="19">
        <v>462</v>
      </c>
      <c r="AQ46" s="17">
        <v>32534072506</v>
      </c>
      <c r="AR46" s="19">
        <v>51</v>
      </c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</row>
    <row r="47" spans="1:58" ht="46.5" x14ac:dyDescent="0.35">
      <c r="A47" s="11">
        <v>9</v>
      </c>
      <c r="B47" s="11" t="s">
        <v>69</v>
      </c>
      <c r="C47" s="12" t="s">
        <v>70</v>
      </c>
      <c r="D47" s="11">
        <v>2024</v>
      </c>
      <c r="E47" s="11"/>
      <c r="F47" s="45">
        <v>0.25009999999999999</v>
      </c>
      <c r="G47" s="45" t="s">
        <v>54</v>
      </c>
      <c r="H47" s="45">
        <f>0.0036</f>
        <v>3.5999999999999999E-3</v>
      </c>
      <c r="I47" s="45">
        <v>1.12E-2</v>
      </c>
      <c r="J47" s="17">
        <v>15079284</v>
      </c>
      <c r="K47" s="17">
        <v>591753292991</v>
      </c>
      <c r="L47" s="22">
        <v>591753292991</v>
      </c>
      <c r="M47" s="17">
        <v>269963505951</v>
      </c>
      <c r="N47" s="17">
        <v>26369942119</v>
      </c>
      <c r="O47" s="17">
        <v>23852628306</v>
      </c>
      <c r="P47" s="19">
        <v>0</v>
      </c>
      <c r="Q47" s="17">
        <v>55531954301</v>
      </c>
      <c r="R47" s="22">
        <v>41433564664</v>
      </c>
      <c r="S47" s="17">
        <v>510995726445</v>
      </c>
      <c r="T47" s="17">
        <v>584396805069</v>
      </c>
      <c r="U47" s="17">
        <v>2147248795</v>
      </c>
      <c r="V47" s="17">
        <v>29439604901</v>
      </c>
      <c r="W47" s="17">
        <v>634786876942</v>
      </c>
      <c r="X47" s="19" t="s">
        <v>54</v>
      </c>
      <c r="Y47" s="19">
        <v>0</v>
      </c>
      <c r="Z47" s="19">
        <v>1</v>
      </c>
      <c r="AA47" s="17">
        <v>30921885524</v>
      </c>
      <c r="AB47" s="17">
        <v>239948306189</v>
      </c>
      <c r="AC47" s="17">
        <v>613967767344</v>
      </c>
      <c r="AD47" s="17">
        <v>30015199762</v>
      </c>
      <c r="AE47" s="17">
        <v>-51020878854</v>
      </c>
      <c r="AF47" s="17">
        <v>7313963156</v>
      </c>
      <c r="AG47" s="17">
        <v>115590192568</v>
      </c>
      <c r="AH47" s="17">
        <v>94467547790</v>
      </c>
      <c r="AI47" s="17">
        <v>26850000</v>
      </c>
      <c r="AJ47" s="22">
        <v>243977602153</v>
      </c>
      <c r="AK47" s="17">
        <v>29988349762</v>
      </c>
      <c r="AL47" s="45">
        <v>-3.3500000000000002E-2</v>
      </c>
      <c r="AM47" s="17">
        <v>115588167636</v>
      </c>
      <c r="AN47" s="17">
        <v>-50242835500</v>
      </c>
      <c r="AO47" s="17">
        <v>2922</v>
      </c>
      <c r="AP47" s="19">
        <v>400</v>
      </c>
      <c r="AQ47" s="17">
        <v>21473979949</v>
      </c>
      <c r="AR47" s="19">
        <v>52</v>
      </c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</row>
    <row r="48" spans="1:58" ht="31" x14ac:dyDescent="0.35">
      <c r="A48" s="31">
        <v>10</v>
      </c>
      <c r="B48" s="31" t="s">
        <v>71</v>
      </c>
      <c r="C48" s="32" t="s">
        <v>72</v>
      </c>
      <c r="D48" s="31">
        <v>2020</v>
      </c>
      <c r="E48" s="31"/>
      <c r="F48" s="43">
        <v>2.64E-2</v>
      </c>
      <c r="G48" s="43">
        <v>0</v>
      </c>
      <c r="H48" s="43">
        <v>0.4098</v>
      </c>
      <c r="I48" s="43">
        <v>0.12670000000000001</v>
      </c>
      <c r="J48" s="34">
        <v>15119946</v>
      </c>
      <c r="K48" s="34">
        <v>382489227375</v>
      </c>
      <c r="L48" s="34">
        <v>382489227375</v>
      </c>
      <c r="M48" s="34">
        <v>475436281934</v>
      </c>
      <c r="N48" s="34">
        <v>367370911</v>
      </c>
      <c r="O48" s="34">
        <v>17664675904</v>
      </c>
      <c r="P48" s="34">
        <v>47631700307</v>
      </c>
      <c r="Q48" s="34">
        <v>219237937911</v>
      </c>
      <c r="R48" s="34">
        <v>122245950873</v>
      </c>
      <c r="S48" s="34">
        <v>22516391467</v>
      </c>
      <c r="T48" s="34">
        <v>260778554506</v>
      </c>
      <c r="U48" s="31">
        <v>0</v>
      </c>
      <c r="V48" s="34">
        <v>146209096684</v>
      </c>
      <c r="W48" s="34">
        <v>278810601321</v>
      </c>
      <c r="X48" s="31" t="s">
        <v>54</v>
      </c>
      <c r="Y48" s="31">
        <v>1</v>
      </c>
      <c r="Z48" s="31">
        <v>1</v>
      </c>
      <c r="AA48" s="34">
        <v>98274259648</v>
      </c>
      <c r="AB48" s="34">
        <v>428691212148</v>
      </c>
      <c r="AC48" s="31">
        <v>456879408282</v>
      </c>
      <c r="AD48" s="34">
        <v>46745069786</v>
      </c>
      <c r="AE48" s="34">
        <v>105691116654</v>
      </c>
      <c r="AF48" s="34">
        <v>0</v>
      </c>
      <c r="AG48" s="34">
        <v>-86698108532</v>
      </c>
      <c r="AH48" s="34">
        <v>36720730061</v>
      </c>
      <c r="AI48" s="34">
        <v>5084494510</v>
      </c>
      <c r="AJ48" s="34">
        <v>318560446203</v>
      </c>
      <c r="AK48" s="34">
        <v>41660575276</v>
      </c>
      <c r="AL48" s="33">
        <v>0.1537</v>
      </c>
      <c r="AM48" s="34">
        <v>139950000</v>
      </c>
      <c r="AN48" s="34">
        <v>-51556119600</v>
      </c>
      <c r="AO48" s="34">
        <v>6273</v>
      </c>
      <c r="AP48" s="31">
        <v>121</v>
      </c>
      <c r="AQ48" s="34">
        <v>17706223929</v>
      </c>
      <c r="AR48" s="31">
        <v>40</v>
      </c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</row>
    <row r="49" spans="1:58" ht="31" x14ac:dyDescent="0.35">
      <c r="A49" s="31">
        <v>10</v>
      </c>
      <c r="B49" s="31" t="s">
        <v>71</v>
      </c>
      <c r="C49" s="32" t="s">
        <v>72</v>
      </c>
      <c r="D49" s="31">
        <v>2021</v>
      </c>
      <c r="E49" s="31"/>
      <c r="F49" s="43">
        <v>1.6500000000000001E-2</v>
      </c>
      <c r="G49" s="43">
        <v>0</v>
      </c>
      <c r="H49" s="43">
        <v>0.33639999999999998</v>
      </c>
      <c r="I49" s="43">
        <v>0.1391</v>
      </c>
      <c r="J49" s="34">
        <v>15119946</v>
      </c>
      <c r="K49" s="34">
        <v>337422824214</v>
      </c>
      <c r="L49" s="34">
        <v>337422824214</v>
      </c>
      <c r="M49" s="34">
        <v>531221432244</v>
      </c>
      <c r="N49" s="34">
        <v>102284808</v>
      </c>
      <c r="O49" s="34">
        <v>15779182018</v>
      </c>
      <c r="P49" s="34">
        <v>42126894975</v>
      </c>
      <c r="Q49" s="34">
        <v>203539324046</v>
      </c>
      <c r="R49" s="34">
        <v>109621799588</v>
      </c>
      <c r="S49" s="34">
        <v>20535079227</v>
      </c>
      <c r="T49" s="34">
        <v>242366718673</v>
      </c>
      <c r="U49" s="31">
        <v>0</v>
      </c>
      <c r="V49" s="34">
        <v>133296545922</v>
      </c>
      <c r="W49" s="34">
        <v>258248185499</v>
      </c>
      <c r="X49" s="31" t="s">
        <v>54</v>
      </c>
      <c r="Y49" s="31">
        <v>1</v>
      </c>
      <c r="Z49" s="31">
        <v>1</v>
      </c>
      <c r="AA49" s="34">
        <v>90254477584</v>
      </c>
      <c r="AB49" s="34">
        <v>468583015347</v>
      </c>
      <c r="AC49" s="31">
        <v>574013629944</v>
      </c>
      <c r="AD49" s="34">
        <v>62638416897</v>
      </c>
      <c r="AE49" s="34">
        <v>138309874269</v>
      </c>
      <c r="AF49" s="34">
        <v>0</v>
      </c>
      <c r="AG49" s="34">
        <v>2724920998</v>
      </c>
      <c r="AH49" s="34">
        <v>133571576028</v>
      </c>
      <c r="AI49" s="34">
        <v>5525511880</v>
      </c>
      <c r="AJ49" s="34">
        <v>393899760544</v>
      </c>
      <c r="AK49" s="34">
        <v>57112905017</v>
      </c>
      <c r="AL49" s="33">
        <v>-0.1178</v>
      </c>
      <c r="AM49" s="34">
        <v>139950000</v>
      </c>
      <c r="AN49" s="34">
        <v>-44183949300</v>
      </c>
      <c r="AO49" s="34">
        <v>5884</v>
      </c>
      <c r="AP49" s="31">
        <v>118</v>
      </c>
      <c r="AQ49" s="34">
        <v>16438620904</v>
      </c>
      <c r="AR49" s="31">
        <v>41</v>
      </c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</row>
    <row r="50" spans="1:58" ht="31" x14ac:dyDescent="0.35">
      <c r="A50" s="31">
        <v>10</v>
      </c>
      <c r="B50" s="31" t="s">
        <v>71</v>
      </c>
      <c r="C50" s="32" t="s">
        <v>72</v>
      </c>
      <c r="D50" s="31">
        <v>2022</v>
      </c>
      <c r="E50" s="31"/>
      <c r="F50" s="43">
        <v>6.4600000000000005E-2</v>
      </c>
      <c r="G50" s="43">
        <v>0</v>
      </c>
      <c r="H50" s="43">
        <v>0.33810000000000001</v>
      </c>
      <c r="I50" s="43">
        <v>0.1837</v>
      </c>
      <c r="J50" s="34">
        <v>15119946</v>
      </c>
      <c r="K50" s="34">
        <v>387820074803</v>
      </c>
      <c r="L50" s="34">
        <v>387820074803</v>
      </c>
      <c r="M50" s="34">
        <v>491412663719</v>
      </c>
      <c r="N50" s="34">
        <v>13000000</v>
      </c>
      <c r="O50" s="34">
        <v>16578967172</v>
      </c>
      <c r="P50" s="34">
        <v>37155306603</v>
      </c>
      <c r="Q50" s="34">
        <v>240972799170</v>
      </c>
      <c r="R50" s="34">
        <v>64731917853</v>
      </c>
      <c r="S50" s="34">
        <v>27055120873</v>
      </c>
      <c r="T50" s="34">
        <v>284897904825</v>
      </c>
      <c r="U50" s="31">
        <v>0</v>
      </c>
      <c r="V50" s="34">
        <v>161807275986</v>
      </c>
      <c r="W50" s="34">
        <v>301565171997</v>
      </c>
      <c r="X50" s="31" t="s">
        <v>54</v>
      </c>
      <c r="Y50" s="31">
        <v>1</v>
      </c>
      <c r="Z50" s="31">
        <v>1</v>
      </c>
      <c r="AA50" s="34">
        <v>52332261663</v>
      </c>
      <c r="AB50" s="34">
        <v>442366188348</v>
      </c>
      <c r="AC50" s="31">
        <v>414498199644</v>
      </c>
      <c r="AD50" s="34">
        <v>49046475371</v>
      </c>
      <c r="AE50" s="34">
        <v>-99593876</v>
      </c>
      <c r="AF50" s="34">
        <v>2148841363</v>
      </c>
      <c r="AG50" s="34">
        <v>1061749373</v>
      </c>
      <c r="AH50" s="34">
        <v>60897636225</v>
      </c>
      <c r="AI50" s="34">
        <v>5953714721</v>
      </c>
      <c r="AJ50" s="34">
        <v>369280328082</v>
      </c>
      <c r="AK50" s="34">
        <v>43092760650</v>
      </c>
      <c r="AL50" s="33">
        <v>0.14940000000000001</v>
      </c>
      <c r="AM50" s="34">
        <v>64650000</v>
      </c>
      <c r="AN50" s="34">
        <v>-73636095300</v>
      </c>
      <c r="AO50" s="34">
        <v>3412</v>
      </c>
      <c r="AP50" s="31">
        <v>117</v>
      </c>
      <c r="AQ50" s="34">
        <v>16005418758</v>
      </c>
      <c r="AR50" s="31">
        <v>42</v>
      </c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</row>
    <row r="51" spans="1:58" ht="31" x14ac:dyDescent="0.35">
      <c r="A51" s="31">
        <v>10</v>
      </c>
      <c r="B51" s="31" t="s">
        <v>71</v>
      </c>
      <c r="C51" s="32" t="s">
        <v>72</v>
      </c>
      <c r="D51" s="31">
        <v>2023</v>
      </c>
      <c r="E51" s="31"/>
      <c r="F51" s="43">
        <v>5.8700000000000002E-2</v>
      </c>
      <c r="G51" s="43">
        <v>0</v>
      </c>
      <c r="H51" s="43">
        <v>0.29189999999999999</v>
      </c>
      <c r="I51" s="43">
        <v>0.1227</v>
      </c>
      <c r="J51" s="34">
        <v>15119946</v>
      </c>
      <c r="K51" s="34">
        <v>375398153999</v>
      </c>
      <c r="L51" s="34">
        <v>375398153999</v>
      </c>
      <c r="M51" s="34">
        <v>469095957351</v>
      </c>
      <c r="N51" s="34">
        <v>77214991</v>
      </c>
      <c r="O51" s="34">
        <v>30422741042</v>
      </c>
      <c r="P51" s="34">
        <v>32183718231</v>
      </c>
      <c r="Q51" s="34">
        <v>242583473172</v>
      </c>
      <c r="R51" s="34">
        <v>114071982762</v>
      </c>
      <c r="S51" s="34">
        <v>25564909378</v>
      </c>
      <c r="T51" s="34">
        <v>272898505500</v>
      </c>
      <c r="U51" s="31">
        <v>0</v>
      </c>
      <c r="V51" s="34">
        <v>178741094956</v>
      </c>
      <c r="W51" s="34">
        <v>301201379598</v>
      </c>
      <c r="X51" s="31" t="s">
        <v>54</v>
      </c>
      <c r="Y51" s="31">
        <v>1</v>
      </c>
      <c r="Z51" s="31">
        <v>1</v>
      </c>
      <c r="AA51" s="34">
        <v>87053668250</v>
      </c>
      <c r="AB51" s="34">
        <v>410768203849</v>
      </c>
      <c r="AC51" s="31">
        <v>663992428590</v>
      </c>
      <c r="AD51" s="34">
        <v>58327753502</v>
      </c>
      <c r="AE51" s="34">
        <v>169024779518</v>
      </c>
      <c r="AF51" s="34">
        <v>372455302</v>
      </c>
      <c r="AG51" s="34">
        <v>3232844999</v>
      </c>
      <c r="AH51" s="34">
        <v>116161635042</v>
      </c>
      <c r="AI51" s="34">
        <v>6401106572</v>
      </c>
      <c r="AJ51" s="34">
        <v>359926792107</v>
      </c>
      <c r="AK51" s="34">
        <v>51926646930</v>
      </c>
      <c r="AL51" s="33">
        <v>-3.2000000000000001E-2</v>
      </c>
      <c r="AM51" s="34">
        <v>2261731935</v>
      </c>
      <c r="AN51" s="34">
        <v>-116993625700</v>
      </c>
      <c r="AO51" s="34">
        <v>5912</v>
      </c>
      <c r="AP51" s="31">
        <v>114</v>
      </c>
      <c r="AQ51" s="34">
        <v>13181417453</v>
      </c>
      <c r="AR51" s="31">
        <v>43</v>
      </c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</row>
    <row r="52" spans="1:58" ht="31" x14ac:dyDescent="0.35">
      <c r="A52" s="31">
        <v>10</v>
      </c>
      <c r="B52" s="31" t="s">
        <v>71</v>
      </c>
      <c r="C52" s="32" t="s">
        <v>72</v>
      </c>
      <c r="D52" s="31">
        <v>2024</v>
      </c>
      <c r="E52" s="31"/>
      <c r="F52" s="43">
        <v>8.4500000000000006E-2</v>
      </c>
      <c r="G52" s="43">
        <v>0</v>
      </c>
      <c r="H52" s="43">
        <v>0.30509999999999998</v>
      </c>
      <c r="I52" s="43">
        <v>9.5100000000000004E-2</v>
      </c>
      <c r="J52" s="34">
        <v>15119946</v>
      </c>
      <c r="K52" s="34">
        <v>296193414952</v>
      </c>
      <c r="L52" s="34">
        <v>296193414952</v>
      </c>
      <c r="M52" s="34">
        <v>470446189023</v>
      </c>
      <c r="N52" s="34">
        <v>21000000</v>
      </c>
      <c r="O52" s="34">
        <v>23261344287</v>
      </c>
      <c r="P52" s="34">
        <v>27212129859</v>
      </c>
      <c r="Q52" s="34">
        <v>190072964510</v>
      </c>
      <c r="R52" s="34">
        <v>75610276808</v>
      </c>
      <c r="S52" s="34">
        <v>16679738983</v>
      </c>
      <c r="T52" s="34">
        <v>207268986950</v>
      </c>
      <c r="U52" s="31">
        <v>0</v>
      </c>
      <c r="V52" s="34">
        <v>136480293237</v>
      </c>
      <c r="W52" s="34">
        <v>232748413172</v>
      </c>
      <c r="X52" s="31" t="s">
        <v>54</v>
      </c>
      <c r="Y52" s="31">
        <v>1</v>
      </c>
      <c r="Z52" s="31">
        <v>1</v>
      </c>
      <c r="AA52" s="34">
        <v>51706620002</v>
      </c>
      <c r="AB52" s="34">
        <v>427206293687</v>
      </c>
      <c r="AC52" s="31">
        <v>611919334566</v>
      </c>
      <c r="AD52" s="34">
        <v>43239895336</v>
      </c>
      <c r="AE52" s="34">
        <v>-101733598631</v>
      </c>
      <c r="AF52" s="31">
        <v>6982576000</v>
      </c>
      <c r="AG52" s="34">
        <v>101186325398</v>
      </c>
      <c r="AH52" s="34">
        <v>85960835809</v>
      </c>
      <c r="AI52" s="34">
        <v>6715421894</v>
      </c>
      <c r="AJ52" s="34">
        <v>368317433857</v>
      </c>
      <c r="AK52" s="34">
        <v>36524473442</v>
      </c>
      <c r="AL52" s="33">
        <v>-0.21099999999999999</v>
      </c>
      <c r="AM52" s="34">
        <v>64650000</v>
      </c>
      <c r="AN52" s="34">
        <v>-29452146000</v>
      </c>
      <c r="AO52" s="34">
        <v>3512</v>
      </c>
      <c r="AP52" s="31">
        <v>108</v>
      </c>
      <c r="AQ52" s="34">
        <v>16736643382</v>
      </c>
      <c r="AR52" s="31">
        <v>44</v>
      </c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</row>
    <row r="53" spans="1:58" ht="46.5" x14ac:dyDescent="0.35">
      <c r="A53" s="11">
        <v>11</v>
      </c>
      <c r="B53" s="11" t="s">
        <v>73</v>
      </c>
      <c r="C53" s="12" t="s">
        <v>74</v>
      </c>
      <c r="D53" s="11">
        <v>2020</v>
      </c>
      <c r="E53" s="11"/>
      <c r="F53" s="42">
        <v>0.33171</v>
      </c>
      <c r="G53" s="42">
        <v>0</v>
      </c>
      <c r="H53" s="42">
        <v>4.4299999999999999E-2</v>
      </c>
      <c r="I53" s="42">
        <v>9.8799999999999999E-2</v>
      </c>
      <c r="J53" s="16">
        <v>18000000</v>
      </c>
      <c r="K53" s="16">
        <v>1210773886000</v>
      </c>
      <c r="L53" s="16">
        <v>1210062165000</v>
      </c>
      <c r="M53" s="16">
        <v>802553849100</v>
      </c>
      <c r="N53" s="16">
        <v>34264992700.000004</v>
      </c>
      <c r="O53" s="16">
        <v>62821455849</v>
      </c>
      <c r="P53" s="11">
        <v>0</v>
      </c>
      <c r="Q53" s="16">
        <v>192424397517</v>
      </c>
      <c r="R53" s="16">
        <v>81353714980</v>
      </c>
      <c r="S53" s="16">
        <v>741409176554</v>
      </c>
      <c r="T53" s="16">
        <v>1026848803232</v>
      </c>
      <c r="U53" s="16">
        <v>5643620993</v>
      </c>
      <c r="V53" s="16">
        <v>85527051656</v>
      </c>
      <c r="W53" s="16">
        <v>1081392480199</v>
      </c>
      <c r="X53" s="16" t="s">
        <v>54</v>
      </c>
      <c r="Y53" s="16">
        <v>0</v>
      </c>
      <c r="Z53" s="11">
        <v>1</v>
      </c>
      <c r="AA53" s="16">
        <v>67079984769.999992</v>
      </c>
      <c r="AB53" s="16">
        <v>518703720700</v>
      </c>
      <c r="AC53" s="16">
        <v>341190000000</v>
      </c>
      <c r="AD53" s="16">
        <v>283850128400</v>
      </c>
      <c r="AE53" s="16">
        <v>158467951100</v>
      </c>
      <c r="AF53" s="16">
        <v>116528745200</v>
      </c>
      <c r="AG53" s="16">
        <v>-115397514600</v>
      </c>
      <c r="AH53" s="16">
        <v>62429961190</v>
      </c>
      <c r="AI53" s="16">
        <v>200000000</v>
      </c>
      <c r="AJ53" s="16">
        <v>445907260300</v>
      </c>
      <c r="AK53" s="16">
        <v>283650128400</v>
      </c>
      <c r="AL53" s="29">
        <v>-7.6300000000000007E-2</v>
      </c>
      <c r="AM53" s="16">
        <v>93822009830</v>
      </c>
      <c r="AN53" s="16">
        <v>-35330825000</v>
      </c>
      <c r="AO53" s="16">
        <v>3546</v>
      </c>
      <c r="AP53" s="11">
        <v>650</v>
      </c>
      <c r="AQ53" s="16">
        <v>257905221800</v>
      </c>
      <c r="AR53" s="11">
        <v>52</v>
      </c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 ht="46.5" x14ac:dyDescent="0.35">
      <c r="A54" s="11">
        <v>11</v>
      </c>
      <c r="B54" s="11" t="s">
        <v>73</v>
      </c>
      <c r="C54" s="12" t="s">
        <v>74</v>
      </c>
      <c r="D54" s="11">
        <v>2021</v>
      </c>
      <c r="E54" s="11"/>
      <c r="F54" s="42">
        <v>0.3327</v>
      </c>
      <c r="G54" s="42">
        <v>0</v>
      </c>
      <c r="H54" s="42">
        <v>4.4600000000000001E-2</v>
      </c>
      <c r="I54" s="42">
        <v>4.8000000000000001E-2</v>
      </c>
      <c r="J54" s="16">
        <v>18000000</v>
      </c>
      <c r="K54" s="16">
        <v>1538796226000</v>
      </c>
      <c r="L54" s="16">
        <v>1536423604000</v>
      </c>
      <c r="M54" s="16">
        <v>1122460164000</v>
      </c>
      <c r="N54" s="16">
        <v>49531681150</v>
      </c>
      <c r="O54" s="16">
        <v>82309761365</v>
      </c>
      <c r="P54" s="11">
        <v>0</v>
      </c>
      <c r="Q54" s="16">
        <v>224277067663</v>
      </c>
      <c r="R54" s="16">
        <v>80316592520</v>
      </c>
      <c r="S54" s="16">
        <v>994115392849</v>
      </c>
      <c r="T54" s="16">
        <v>1464850051606</v>
      </c>
      <c r="U54" s="16">
        <v>12903970992</v>
      </c>
      <c r="V54" s="16">
        <v>124748016569</v>
      </c>
      <c r="W54" s="16">
        <v>1466973905795</v>
      </c>
      <c r="X54" s="16" t="s">
        <v>54</v>
      </c>
      <c r="Y54" s="16">
        <v>0</v>
      </c>
      <c r="Z54" s="11">
        <v>1</v>
      </c>
      <c r="AA54" s="16">
        <v>70897067420</v>
      </c>
      <c r="AB54" s="16">
        <v>550029745400</v>
      </c>
      <c r="AC54" s="16">
        <v>399744000000</v>
      </c>
      <c r="AD54" s="16">
        <v>572430418700</v>
      </c>
      <c r="AE54" s="16">
        <v>-59650394740</v>
      </c>
      <c r="AF54" s="16">
        <v>71518915347</v>
      </c>
      <c r="AG54" s="16">
        <v>-85196111470</v>
      </c>
      <c r="AH54" s="16">
        <v>53422794440</v>
      </c>
      <c r="AI54" s="16">
        <v>76879569210</v>
      </c>
      <c r="AJ54" s="16">
        <v>712764360000</v>
      </c>
      <c r="AK54" s="16">
        <v>495550849500</v>
      </c>
      <c r="AL54" s="29">
        <v>0.27100000000000002</v>
      </c>
      <c r="AM54" s="16">
        <v>238412179300</v>
      </c>
      <c r="AN54" s="16">
        <v>-36425195800</v>
      </c>
      <c r="AO54" s="16">
        <v>3751</v>
      </c>
      <c r="AP54" s="11">
        <v>705</v>
      </c>
      <c r="AQ54" s="16">
        <v>312049396100</v>
      </c>
      <c r="AR54" s="11">
        <v>53</v>
      </c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  <row r="55" spans="1:58" ht="46.5" x14ac:dyDescent="0.35">
      <c r="A55" s="11">
        <v>11</v>
      </c>
      <c r="B55" s="11" t="s">
        <v>73</v>
      </c>
      <c r="C55" s="12" t="s">
        <v>74</v>
      </c>
      <c r="D55" s="11">
        <v>2022</v>
      </c>
      <c r="E55" s="11"/>
      <c r="F55" s="42">
        <v>0.3327</v>
      </c>
      <c r="G55" s="42">
        <v>0</v>
      </c>
      <c r="H55" s="42">
        <v>4.5100000000000001E-2</v>
      </c>
      <c r="I55" s="42">
        <v>4.7600000000000003E-2</v>
      </c>
      <c r="J55" s="16">
        <v>18000000</v>
      </c>
      <c r="K55" s="16">
        <v>1710685507000</v>
      </c>
      <c r="L55" s="16">
        <v>1710202317000</v>
      </c>
      <c r="M55" s="16">
        <v>992749063200</v>
      </c>
      <c r="N55" s="16">
        <v>52625342720</v>
      </c>
      <c r="O55" s="16">
        <v>100741155174</v>
      </c>
      <c r="P55" s="11">
        <v>0</v>
      </c>
      <c r="Q55" s="16">
        <v>236476671693</v>
      </c>
      <c r="R55" s="16">
        <v>101571030000</v>
      </c>
      <c r="S55" s="16">
        <v>1166859330609</v>
      </c>
      <c r="T55" s="16">
        <v>1358092579035</v>
      </c>
      <c r="U55" s="16">
        <v>7809693914</v>
      </c>
      <c r="V55" s="16">
        <v>128190513975</v>
      </c>
      <c r="W55" s="16">
        <v>1615343019169</v>
      </c>
      <c r="X55" s="16" t="s">
        <v>54</v>
      </c>
      <c r="Y55" s="16">
        <v>0</v>
      </c>
      <c r="Z55" s="11">
        <v>1</v>
      </c>
      <c r="AA55" s="16">
        <v>82551581690</v>
      </c>
      <c r="AB55" s="16">
        <v>592070847600</v>
      </c>
      <c r="AC55" s="16">
        <v>423036000000</v>
      </c>
      <c r="AD55" s="16">
        <v>400678215600</v>
      </c>
      <c r="AE55" s="16">
        <v>273469988100.00003</v>
      </c>
      <c r="AF55" s="16">
        <v>53496394470</v>
      </c>
      <c r="AG55" s="16">
        <v>-39370032150</v>
      </c>
      <c r="AH55" s="16">
        <v>109911179900</v>
      </c>
      <c r="AI55" s="16">
        <v>1280000000</v>
      </c>
      <c r="AJ55" s="16">
        <v>598054188100</v>
      </c>
      <c r="AK55" s="16">
        <v>399398215600</v>
      </c>
      <c r="AL55" s="29">
        <v>0.1123</v>
      </c>
      <c r="AM55" s="16">
        <v>148672212000</v>
      </c>
      <c r="AN55" s="16">
        <v>-35908000000</v>
      </c>
      <c r="AO55" s="16">
        <v>4368</v>
      </c>
      <c r="AP55" s="11">
        <v>720</v>
      </c>
      <c r="AQ55" s="16">
        <v>371307351400</v>
      </c>
      <c r="AR55" s="11">
        <v>54</v>
      </c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</row>
    <row r="56" spans="1:58" ht="46.5" x14ac:dyDescent="0.35">
      <c r="A56" s="11">
        <v>11</v>
      </c>
      <c r="B56" s="11" t="s">
        <v>73</v>
      </c>
      <c r="C56" s="12" t="s">
        <v>74</v>
      </c>
      <c r="D56" s="11">
        <v>2023</v>
      </c>
      <c r="E56" s="11"/>
      <c r="F56" s="42">
        <v>0.24060000000000001</v>
      </c>
      <c r="G56" s="42">
        <v>0</v>
      </c>
      <c r="H56" s="42">
        <v>4.5499999999999999E-2</v>
      </c>
      <c r="I56" s="42">
        <v>3.7900000000000003E-2</v>
      </c>
      <c r="J56" s="16">
        <v>18000000</v>
      </c>
      <c r="K56" s="16">
        <v>1533265809000</v>
      </c>
      <c r="L56" s="16">
        <v>1532155104000</v>
      </c>
      <c r="M56" s="16">
        <v>1089703549000.0001</v>
      </c>
      <c r="N56" s="16">
        <v>57339448890</v>
      </c>
      <c r="O56" s="16">
        <v>115414602315</v>
      </c>
      <c r="P56" s="11">
        <v>0</v>
      </c>
      <c r="Q56" s="16">
        <v>236885247748</v>
      </c>
      <c r="R56" s="16">
        <v>111506404800</v>
      </c>
      <c r="S56" s="16">
        <v>911580429881</v>
      </c>
      <c r="T56" s="16">
        <v>1230557389521</v>
      </c>
      <c r="U56" s="16">
        <v>6805429033</v>
      </c>
      <c r="V56" s="16">
        <v>131113011763</v>
      </c>
      <c r="W56" s="16">
        <v>1425849729159</v>
      </c>
      <c r="X56" s="16" t="s">
        <v>54</v>
      </c>
      <c r="Y56" s="16">
        <v>0</v>
      </c>
      <c r="Z56" s="11">
        <v>1</v>
      </c>
      <c r="AA56" s="16">
        <v>99240927590</v>
      </c>
      <c r="AB56" s="16">
        <v>656961251300</v>
      </c>
      <c r="AC56" s="16">
        <v>510786000000</v>
      </c>
      <c r="AD56" s="16">
        <v>432742297900</v>
      </c>
      <c r="AE56" s="16">
        <v>297617667900</v>
      </c>
      <c r="AF56" s="16">
        <v>43674139884</v>
      </c>
      <c r="AG56" s="16">
        <v>-242000459900</v>
      </c>
      <c r="AH56" s="16">
        <v>119887523600</v>
      </c>
      <c r="AI56" s="16">
        <v>1280000000</v>
      </c>
      <c r="AJ56" s="16">
        <v>769517691200</v>
      </c>
      <c r="AK56" s="16">
        <v>431462297900</v>
      </c>
      <c r="AL56" s="29">
        <v>-0.1037</v>
      </c>
      <c r="AM56" s="16">
        <v>123739089300</v>
      </c>
      <c r="AN56" s="16">
        <v>-35902225000</v>
      </c>
      <c r="AO56" s="16">
        <v>5251</v>
      </c>
      <c r="AP56" s="11">
        <v>769</v>
      </c>
      <c r="AQ56" s="16">
        <v>291893681100</v>
      </c>
      <c r="AR56" s="11">
        <v>55</v>
      </c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</row>
    <row r="57" spans="1:58" ht="46.5" x14ac:dyDescent="0.35">
      <c r="A57" s="11">
        <v>11</v>
      </c>
      <c r="B57" s="11" t="s">
        <v>73</v>
      </c>
      <c r="C57" s="12" t="s">
        <v>74</v>
      </c>
      <c r="D57" s="11">
        <v>2024</v>
      </c>
      <c r="E57" s="11"/>
      <c r="F57" s="42">
        <v>0.24060000000000001</v>
      </c>
      <c r="G57" s="42">
        <v>0</v>
      </c>
      <c r="H57" s="42">
        <v>4.5499999999999999E-2</v>
      </c>
      <c r="I57" s="42">
        <v>3.6999999999999998E-2</v>
      </c>
      <c r="J57" s="16">
        <v>18000000</v>
      </c>
      <c r="K57" s="16">
        <v>1767765247000</v>
      </c>
      <c r="L57" s="16">
        <v>1767091792000</v>
      </c>
      <c r="M57" s="16">
        <v>1206807055000</v>
      </c>
      <c r="N57" s="16">
        <v>58556888671</v>
      </c>
      <c r="O57" s="16">
        <v>127573880051</v>
      </c>
      <c r="P57" s="11">
        <v>0</v>
      </c>
      <c r="Q57" s="16">
        <v>273141132556</v>
      </c>
      <c r="R57" s="16">
        <v>134023335700</v>
      </c>
      <c r="S57" s="16">
        <v>1051700918784</v>
      </c>
      <c r="T57" s="16">
        <v>1544415704845</v>
      </c>
      <c r="U57" s="16">
        <v>7398540285</v>
      </c>
      <c r="V57" s="16">
        <v>158146467179</v>
      </c>
      <c r="W57" s="16">
        <v>1647870432538</v>
      </c>
      <c r="X57" s="16" t="s">
        <v>54</v>
      </c>
      <c r="Y57" s="16">
        <v>0</v>
      </c>
      <c r="Z57" s="11">
        <v>1</v>
      </c>
      <c r="AA57" s="16">
        <v>113990460500</v>
      </c>
      <c r="AB57" s="16">
        <v>720980143900</v>
      </c>
      <c r="AC57" s="16">
        <v>654480000000</v>
      </c>
      <c r="AD57" s="16">
        <v>485826911500</v>
      </c>
      <c r="AE57" s="16">
        <v>-53827490460</v>
      </c>
      <c r="AF57" s="16">
        <v>43136442172</v>
      </c>
      <c r="AG57" s="16">
        <v>106491169400</v>
      </c>
      <c r="AH57" s="16">
        <v>139472576300</v>
      </c>
      <c r="AI57" s="16">
        <v>1280000000</v>
      </c>
      <c r="AJ57" s="16">
        <v>795699180200</v>
      </c>
      <c r="AK57" s="16">
        <v>484546911500</v>
      </c>
      <c r="AL57" s="29">
        <v>0.153</v>
      </c>
      <c r="AM57" s="16">
        <v>215206223600</v>
      </c>
      <c r="AN57" s="16">
        <v>-44882281250</v>
      </c>
      <c r="AO57" s="16">
        <v>6031</v>
      </c>
      <c r="AP57" s="11">
        <v>768</v>
      </c>
      <c r="AQ57" s="16">
        <v>246012863600</v>
      </c>
      <c r="AR57" s="11">
        <v>56</v>
      </c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</row>
    <row r="58" spans="1:58" ht="46.5" x14ac:dyDescent="0.35">
      <c r="A58" s="31">
        <v>12</v>
      </c>
      <c r="B58" s="31" t="s">
        <v>75</v>
      </c>
      <c r="C58" s="32" t="s">
        <v>76</v>
      </c>
      <c r="D58" s="31">
        <v>2020</v>
      </c>
      <c r="E58" s="31"/>
      <c r="F58" s="43">
        <v>0.38269999999999998</v>
      </c>
      <c r="G58" s="43">
        <v>0</v>
      </c>
      <c r="H58" s="31" t="s">
        <v>54</v>
      </c>
      <c r="I58" s="43">
        <v>0.33700000000000002</v>
      </c>
      <c r="J58" s="34">
        <v>60922941</v>
      </c>
      <c r="K58" s="34">
        <v>15743517791335</v>
      </c>
      <c r="L58" s="34">
        <v>15734957561413</v>
      </c>
      <c r="M58" s="34">
        <v>6721246505583</v>
      </c>
      <c r="N58" s="34">
        <v>197436219519</v>
      </c>
      <c r="O58" s="34">
        <v>211257402121</v>
      </c>
      <c r="P58" s="34">
        <v>138835350099</v>
      </c>
      <c r="Q58" s="34">
        <v>581102937879</v>
      </c>
      <c r="R58" s="34">
        <v>368853350463</v>
      </c>
      <c r="S58" s="34">
        <v>2601531858973</v>
      </c>
      <c r="T58" s="34">
        <v>194105053393514</v>
      </c>
      <c r="U58" s="31">
        <v>0</v>
      </c>
      <c r="V58" s="34">
        <v>429244757041</v>
      </c>
      <c r="W58" s="34">
        <v>3394145520320</v>
      </c>
      <c r="X58" s="31" t="s">
        <v>54</v>
      </c>
      <c r="Y58" s="31">
        <v>0</v>
      </c>
      <c r="Z58" s="31">
        <v>1</v>
      </c>
      <c r="AA58" s="34">
        <v>316100689994</v>
      </c>
      <c r="AB58" s="34">
        <v>1584290742605</v>
      </c>
      <c r="AC58" s="31">
        <v>950032341954</v>
      </c>
      <c r="AD58" s="34">
        <v>5136955762978</v>
      </c>
      <c r="AE58" s="34">
        <v>444686324457</v>
      </c>
      <c r="AF58" s="34">
        <v>54703993896</v>
      </c>
      <c r="AG58" s="34">
        <v>-291101325485</v>
      </c>
      <c r="AH58" s="34">
        <v>1183353090185</v>
      </c>
      <c r="AI58" s="34">
        <v>53661800641</v>
      </c>
      <c r="AJ58" s="34">
        <v>5516482658175</v>
      </c>
      <c r="AK58" s="34">
        <v>5083293962337</v>
      </c>
      <c r="AL58" s="33">
        <v>-7.0000000000000007E-2</v>
      </c>
      <c r="AM58" s="34">
        <v>1803930918481</v>
      </c>
      <c r="AN58" s="34">
        <v>-58932942200</v>
      </c>
      <c r="AO58" s="34">
        <v>5020</v>
      </c>
      <c r="AP58" s="34">
        <v>1136</v>
      </c>
      <c r="AQ58" s="34">
        <v>512645488973</v>
      </c>
      <c r="AR58" s="31">
        <v>16</v>
      </c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</row>
    <row r="59" spans="1:58" ht="46.5" x14ac:dyDescent="0.35">
      <c r="A59" s="31">
        <v>12</v>
      </c>
      <c r="B59" s="31" t="s">
        <v>75</v>
      </c>
      <c r="C59" s="32" t="s">
        <v>76</v>
      </c>
      <c r="D59" s="31">
        <v>2021</v>
      </c>
      <c r="E59" s="31"/>
      <c r="F59" s="43">
        <v>0.40889999999999999</v>
      </c>
      <c r="G59" s="43">
        <v>0</v>
      </c>
      <c r="H59" s="31" t="s">
        <v>54</v>
      </c>
      <c r="I59" s="43">
        <v>0.2089</v>
      </c>
      <c r="J59" s="34">
        <v>60922941</v>
      </c>
      <c r="K59" s="34">
        <v>21318535820136</v>
      </c>
      <c r="L59" s="34">
        <v>21315015477261</v>
      </c>
      <c r="M59" s="34">
        <v>9005778911345</v>
      </c>
      <c r="N59" s="34">
        <v>219066075994</v>
      </c>
      <c r="O59" s="34">
        <v>127199563622</v>
      </c>
      <c r="P59" s="34">
        <v>138317948043</v>
      </c>
      <c r="Q59" s="34">
        <v>994566108203</v>
      </c>
      <c r="R59" s="34">
        <v>1096858279209</v>
      </c>
      <c r="S59" s="34">
        <v>2792717459581</v>
      </c>
      <c r="T59" s="34">
        <v>20575218716717</v>
      </c>
      <c r="U59" s="31">
        <v>0</v>
      </c>
      <c r="V59" s="34">
        <v>885893725299</v>
      </c>
      <c r="W59" s="34">
        <v>3575695403586</v>
      </c>
      <c r="X59" s="31" t="s">
        <v>54</v>
      </c>
      <c r="Y59" s="31">
        <v>0</v>
      </c>
      <c r="Z59" s="31">
        <v>1</v>
      </c>
      <c r="AA59" s="34">
        <v>901050511024</v>
      </c>
      <c r="AB59" s="34">
        <v>2418877197467</v>
      </c>
      <c r="AC59" s="31">
        <v>2094469788639</v>
      </c>
      <c r="AD59" s="34">
        <v>6586901713878</v>
      </c>
      <c r="AE59" s="34">
        <v>-752284349693</v>
      </c>
      <c r="AF59" s="34">
        <v>537665369252</v>
      </c>
      <c r="AG59" s="34">
        <v>-636331942140</v>
      </c>
      <c r="AH59" s="34">
        <v>624568484588</v>
      </c>
      <c r="AI59" s="34">
        <v>466408913884</v>
      </c>
      <c r="AJ59" s="34">
        <v>7021183485885</v>
      </c>
      <c r="AK59" s="34">
        <v>6120492799994</v>
      </c>
      <c r="AL59" s="33">
        <v>0.35</v>
      </c>
      <c r="AM59" s="34">
        <v>2544487868635</v>
      </c>
      <c r="AN59" s="34">
        <v>-60922941000</v>
      </c>
      <c r="AO59" s="34">
        <v>14124</v>
      </c>
      <c r="AP59" s="34">
        <v>1332</v>
      </c>
      <c r="AQ59" s="34">
        <v>648373972428</v>
      </c>
      <c r="AR59" s="31">
        <v>17</v>
      </c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</row>
    <row r="60" spans="1:58" ht="46.5" x14ac:dyDescent="0.35">
      <c r="A60" s="31">
        <v>12</v>
      </c>
      <c r="B60" s="31" t="s">
        <v>75</v>
      </c>
      <c r="C60" s="32" t="s">
        <v>76</v>
      </c>
      <c r="D60" s="31">
        <v>2022</v>
      </c>
      <c r="E60" s="31"/>
      <c r="F60" s="43">
        <v>0.40789999999999998</v>
      </c>
      <c r="G60" s="43">
        <v>0</v>
      </c>
      <c r="H60" s="31" t="s">
        <v>54</v>
      </c>
      <c r="I60" s="43">
        <v>0.2031</v>
      </c>
      <c r="J60" s="34">
        <v>73606837</v>
      </c>
      <c r="K60" s="34">
        <v>23187514531782</v>
      </c>
      <c r="L60" s="34">
        <v>23181579818716</v>
      </c>
      <c r="M60" s="34">
        <v>8329093955830</v>
      </c>
      <c r="N60" s="34">
        <v>209785898048</v>
      </c>
      <c r="O60" s="34">
        <v>123433305078</v>
      </c>
      <c r="P60" s="34">
        <v>139348961585</v>
      </c>
      <c r="Q60" s="34">
        <v>1173731662196</v>
      </c>
      <c r="R60" s="34">
        <v>-615242862927</v>
      </c>
      <c r="S60" s="34">
        <v>3395615282117</v>
      </c>
      <c r="T60" s="34">
        <v>22239492366475</v>
      </c>
      <c r="U60" s="34">
        <v>595081281</v>
      </c>
      <c r="V60" s="34">
        <v>1006112827506</v>
      </c>
      <c r="W60" s="34">
        <v>4720557065011</v>
      </c>
      <c r="X60" s="31" t="s">
        <v>54</v>
      </c>
      <c r="Y60" s="31">
        <v>0</v>
      </c>
      <c r="Z60" s="31">
        <v>1</v>
      </c>
      <c r="AA60" s="34">
        <v>-651831083741</v>
      </c>
      <c r="AB60" s="34">
        <v>1723068883226</v>
      </c>
      <c r="AC60" s="31">
        <v>711778113790</v>
      </c>
      <c r="AD60" s="34">
        <v>6606025072604</v>
      </c>
      <c r="AE60" s="34">
        <v>400206170794</v>
      </c>
      <c r="AF60" s="34">
        <v>85839623436</v>
      </c>
      <c r="AG60" s="34">
        <v>-3019775037</v>
      </c>
      <c r="AH60" s="34">
        <v>813933205557</v>
      </c>
      <c r="AI60" s="34">
        <v>613560561250</v>
      </c>
      <c r="AJ60" s="34">
        <v>6272892840592</v>
      </c>
      <c r="AK60" s="34">
        <v>5992464511354</v>
      </c>
      <c r="AL60" s="33">
        <v>0.09</v>
      </c>
      <c r="AM60" s="34">
        <v>1564776614788</v>
      </c>
      <c r="AN60" s="34">
        <v>-30461470500</v>
      </c>
      <c r="AO60" s="34">
        <v>-8760</v>
      </c>
      <c r="AP60" s="34">
        <v>1399</v>
      </c>
      <c r="AQ60" s="34">
        <v>740501293482</v>
      </c>
      <c r="AR60" s="31">
        <v>18</v>
      </c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</row>
    <row r="61" spans="1:58" ht="46.5" x14ac:dyDescent="0.35">
      <c r="A61" s="31">
        <v>12</v>
      </c>
      <c r="B61" s="31" t="s">
        <v>75</v>
      </c>
      <c r="C61" s="32" t="s">
        <v>76</v>
      </c>
      <c r="D61" s="31">
        <v>2023</v>
      </c>
      <c r="E61" s="31"/>
      <c r="F61" s="43">
        <v>0.40600000000000003</v>
      </c>
      <c r="G61" s="43">
        <v>0</v>
      </c>
      <c r="H61" s="31" t="s">
        <v>54</v>
      </c>
      <c r="I61" s="43">
        <v>0.20200000000000001</v>
      </c>
      <c r="J61" s="34">
        <v>73606837</v>
      </c>
      <c r="K61" s="34">
        <v>13703621127260</v>
      </c>
      <c r="L61" s="34">
        <v>13701576034586</v>
      </c>
      <c r="M61" s="34">
        <v>6178691063726</v>
      </c>
      <c r="N61" s="34">
        <v>122841658513</v>
      </c>
      <c r="O61" s="34">
        <v>623223853484</v>
      </c>
      <c r="P61" s="34">
        <v>138469319169</v>
      </c>
      <c r="Q61" s="34">
        <v>746981175620</v>
      </c>
      <c r="R61" s="34">
        <v>-913554361607</v>
      </c>
      <c r="S61" s="34">
        <v>1338203495095</v>
      </c>
      <c r="T61" s="34">
        <v>12916607678098</v>
      </c>
      <c r="U61" s="34">
        <v>3059875546</v>
      </c>
      <c r="V61" s="34">
        <v>615521414765</v>
      </c>
      <c r="W61" s="34">
        <v>2260483034907</v>
      </c>
      <c r="X61" s="31" t="s">
        <v>54</v>
      </c>
      <c r="Y61" s="31">
        <v>0</v>
      </c>
      <c r="Z61" s="31">
        <v>1</v>
      </c>
      <c r="AA61" s="34">
        <v>-925299043177</v>
      </c>
      <c r="AB61" s="34">
        <v>797769840049</v>
      </c>
      <c r="AC61" s="31">
        <v>754470079250</v>
      </c>
      <c r="AD61" s="34">
        <v>5380921223677</v>
      </c>
      <c r="AE61" s="34">
        <v>441580036802</v>
      </c>
      <c r="AF61" s="34">
        <v>216421680681</v>
      </c>
      <c r="AG61" s="34">
        <v>43841019610</v>
      </c>
      <c r="AH61" s="34">
        <v>669710791326</v>
      </c>
      <c r="AI61" s="34">
        <v>373915848733</v>
      </c>
      <c r="AJ61" s="34">
        <v>3981869829063</v>
      </c>
      <c r="AK61" s="34">
        <v>5007005374944</v>
      </c>
      <c r="AL61" s="33">
        <v>-0.41</v>
      </c>
      <c r="AM61" s="34">
        <v>841377700626</v>
      </c>
      <c r="AN61" s="31">
        <v>0</v>
      </c>
      <c r="AO61" s="34">
        <v>-12027</v>
      </c>
      <c r="AP61" s="34">
        <v>1155</v>
      </c>
      <c r="AQ61" s="34">
        <v>1012009354742</v>
      </c>
      <c r="AR61" s="31">
        <v>19</v>
      </c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</row>
    <row r="62" spans="1:58" ht="46.5" x14ac:dyDescent="0.35">
      <c r="A62" s="31">
        <v>12</v>
      </c>
      <c r="B62" s="31" t="s">
        <v>75</v>
      </c>
      <c r="C62" s="32" t="s">
        <v>76</v>
      </c>
      <c r="D62" s="31">
        <v>2024</v>
      </c>
      <c r="E62" s="31"/>
      <c r="F62" s="43">
        <v>0.46899999999999997</v>
      </c>
      <c r="G62" s="43">
        <v>0</v>
      </c>
      <c r="H62" s="31" t="s">
        <v>54</v>
      </c>
      <c r="I62" s="43">
        <v>0.20300000000000001</v>
      </c>
      <c r="J62" s="34">
        <v>73606837</v>
      </c>
      <c r="K62" s="34">
        <v>8931097877784</v>
      </c>
      <c r="L62" s="34">
        <v>8929794811796</v>
      </c>
      <c r="M62" s="34">
        <v>4778182548265</v>
      </c>
      <c r="N62" s="34">
        <v>91911028525</v>
      </c>
      <c r="O62" s="34">
        <v>-95466546960</v>
      </c>
      <c r="P62" s="34">
        <v>103782776197</v>
      </c>
      <c r="Q62" s="34">
        <v>460117824534</v>
      </c>
      <c r="R62" s="34">
        <v>11977042638</v>
      </c>
      <c r="S62" s="34">
        <v>2360772353686</v>
      </c>
      <c r="T62" s="34">
        <v>8710444132239</v>
      </c>
      <c r="U62" s="34">
        <v>1322497781</v>
      </c>
      <c r="V62" s="34">
        <v>325798693670</v>
      </c>
      <c r="W62" s="34">
        <v>2955534527372</v>
      </c>
      <c r="X62" s="31" t="s">
        <v>54</v>
      </c>
      <c r="Y62" s="31">
        <v>0</v>
      </c>
      <c r="Z62" s="31">
        <v>1</v>
      </c>
      <c r="AA62" s="34">
        <v>12074172964</v>
      </c>
      <c r="AB62" s="34">
        <v>809844013013</v>
      </c>
      <c r="AC62" s="31">
        <v>615353157320</v>
      </c>
      <c r="AD62" s="34">
        <v>3968338535252</v>
      </c>
      <c r="AE62" s="34">
        <v>-508075438005</v>
      </c>
      <c r="AF62" s="34">
        <v>0</v>
      </c>
      <c r="AG62" s="34">
        <v>610294584668</v>
      </c>
      <c r="AH62" s="34">
        <v>143281861697</v>
      </c>
      <c r="AI62" s="34">
        <v>259054597276</v>
      </c>
      <c r="AJ62" s="34">
        <v>3086659368507</v>
      </c>
      <c r="AK62" s="34">
        <v>3709283937976</v>
      </c>
      <c r="AL62" s="33">
        <v>-0.35</v>
      </c>
      <c r="AM62" s="34">
        <v>627737119083</v>
      </c>
      <c r="AN62" s="31">
        <v>0</v>
      </c>
      <c r="AO62" s="31">
        <v>397</v>
      </c>
      <c r="AP62" s="31">
        <v>864</v>
      </c>
      <c r="AQ62" s="34">
        <v>829878313043</v>
      </c>
      <c r="AR62" s="31">
        <v>20</v>
      </c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</row>
    <row r="63" spans="1:58" ht="31" x14ac:dyDescent="0.35">
      <c r="A63" s="11">
        <v>13</v>
      </c>
      <c r="B63" s="11" t="s">
        <v>77</v>
      </c>
      <c r="C63" s="12" t="s">
        <v>78</v>
      </c>
      <c r="D63" s="11">
        <v>2020</v>
      </c>
      <c r="E63" s="11"/>
      <c r="F63" s="36">
        <v>1.5E-3</v>
      </c>
      <c r="G63" s="36" t="s">
        <v>54</v>
      </c>
      <c r="H63" s="36">
        <v>4.3200000000000002E-2</v>
      </c>
      <c r="I63" s="36">
        <v>2.1600000000000001E-2</v>
      </c>
      <c r="J63" s="37">
        <v>26207583</v>
      </c>
      <c r="K63" s="37">
        <v>1899749410421</v>
      </c>
      <c r="L63" s="37">
        <v>1899749410421</v>
      </c>
      <c r="M63" s="37">
        <v>911619959485</v>
      </c>
      <c r="N63" s="37">
        <v>24461936589</v>
      </c>
      <c r="O63" s="37">
        <v>61221410405</v>
      </c>
      <c r="P63" s="37">
        <v>4843881325</v>
      </c>
      <c r="Q63" s="37" t="s">
        <v>54</v>
      </c>
      <c r="R63" s="37">
        <v>161049408328</v>
      </c>
      <c r="S63" s="37" t="s">
        <v>54</v>
      </c>
      <c r="T63" s="37">
        <v>1630775360209</v>
      </c>
      <c r="U63" s="37">
        <v>444168939</v>
      </c>
      <c r="V63" s="37">
        <v>3956051869</v>
      </c>
      <c r="W63" s="37" t="s">
        <v>54</v>
      </c>
      <c r="X63" s="39" t="s">
        <v>54</v>
      </c>
      <c r="Y63" s="47">
        <v>0</v>
      </c>
      <c r="Z63" s="39">
        <v>0</v>
      </c>
      <c r="AA63" s="37">
        <v>128947567861</v>
      </c>
      <c r="AB63" s="37">
        <v>730638429829</v>
      </c>
      <c r="AC63" s="37">
        <v>557129796129</v>
      </c>
      <c r="AD63" s="37">
        <v>180981529656</v>
      </c>
      <c r="AE63" s="37">
        <v>227571706882</v>
      </c>
      <c r="AF63" s="37">
        <v>291950000</v>
      </c>
      <c r="AG63" s="37">
        <v>-4489586</v>
      </c>
      <c r="AH63" s="37">
        <v>55820130138</v>
      </c>
      <c r="AI63" s="37">
        <v>505995082</v>
      </c>
      <c r="AJ63" s="37">
        <v>839016028081</v>
      </c>
      <c r="AK63" s="37">
        <v>180475534574</v>
      </c>
      <c r="AL63" s="36">
        <v>1.4999999999999999E-2</v>
      </c>
      <c r="AM63" s="37">
        <v>599567026308</v>
      </c>
      <c r="AN63" s="37">
        <v>-78622749</v>
      </c>
      <c r="AO63" s="37">
        <v>4477</v>
      </c>
      <c r="AP63" s="39">
        <v>307</v>
      </c>
      <c r="AQ63" s="37">
        <v>54104614133</v>
      </c>
      <c r="AR63" s="39">
        <v>28</v>
      </c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</row>
    <row r="64" spans="1:58" ht="31" x14ac:dyDescent="0.35">
      <c r="A64" s="11">
        <v>13</v>
      </c>
      <c r="B64" s="11" t="s">
        <v>77</v>
      </c>
      <c r="C64" s="12" t="s">
        <v>78</v>
      </c>
      <c r="D64" s="11">
        <v>2021</v>
      </c>
      <c r="E64" s="11"/>
      <c r="F64" s="36">
        <v>1.2999999999999999E-3</v>
      </c>
      <c r="G64" s="36" t="s">
        <v>54</v>
      </c>
      <c r="H64" s="36">
        <v>4.1200000000000001E-2</v>
      </c>
      <c r="I64" s="36">
        <v>1.9400000000000001E-2</v>
      </c>
      <c r="J64" s="37">
        <v>26207583</v>
      </c>
      <c r="K64" s="37">
        <v>2142096427823</v>
      </c>
      <c r="L64" s="37">
        <v>2142096427823</v>
      </c>
      <c r="M64" s="37">
        <v>1050169038970</v>
      </c>
      <c r="N64" s="37">
        <v>27059013149</v>
      </c>
      <c r="O64" s="37">
        <v>76074878920</v>
      </c>
      <c r="P64" s="37">
        <v>4457537275</v>
      </c>
      <c r="Q64" s="37">
        <v>137886893004</v>
      </c>
      <c r="R64" s="37">
        <v>177404439543</v>
      </c>
      <c r="S64" s="37">
        <v>1670958811476</v>
      </c>
      <c r="T64" s="37">
        <v>1992103321676</v>
      </c>
      <c r="U64" s="37">
        <v>16144882</v>
      </c>
      <c r="V64" s="37">
        <v>53450843205</v>
      </c>
      <c r="W64" s="37">
        <v>1947831894998</v>
      </c>
      <c r="X64" s="39" t="s">
        <v>54</v>
      </c>
      <c r="Y64" s="47">
        <v>0</v>
      </c>
      <c r="Z64" s="39">
        <v>0</v>
      </c>
      <c r="AA64" s="37">
        <v>142199568750</v>
      </c>
      <c r="AB64" s="37">
        <v>773990948519</v>
      </c>
      <c r="AC64" s="37">
        <v>677675681214</v>
      </c>
      <c r="AD64" s="37">
        <v>276178090451</v>
      </c>
      <c r="AE64" s="37">
        <v>-14250987600</v>
      </c>
      <c r="AF64" s="37">
        <v>4076779846</v>
      </c>
      <c r="AG64" s="37">
        <v>10057582659</v>
      </c>
      <c r="AH64" s="37">
        <v>61971518986</v>
      </c>
      <c r="AI64" s="37">
        <v>505995082</v>
      </c>
      <c r="AJ64" s="37">
        <v>839016028081</v>
      </c>
      <c r="AK64" s="37">
        <v>275672095369</v>
      </c>
      <c r="AL64" s="36">
        <v>0.12759999999999999</v>
      </c>
      <c r="AM64" s="37">
        <v>734664605507</v>
      </c>
      <c r="AN64" s="37">
        <v>-78622749000</v>
      </c>
      <c r="AO64" s="37">
        <v>4651</v>
      </c>
      <c r="AP64" s="39">
        <v>308</v>
      </c>
      <c r="AQ64" s="37">
        <v>26575031014</v>
      </c>
      <c r="AR64" s="39">
        <v>29</v>
      </c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</row>
    <row r="65" spans="1:58" ht="31" x14ac:dyDescent="0.35">
      <c r="A65" s="11">
        <v>13</v>
      </c>
      <c r="B65" s="11" t="s">
        <v>77</v>
      </c>
      <c r="C65" s="12" t="s">
        <v>78</v>
      </c>
      <c r="D65" s="11">
        <v>2022</v>
      </c>
      <c r="E65" s="11"/>
      <c r="F65" s="36">
        <v>6.4999999999999997E-4</v>
      </c>
      <c r="G65" s="36" t="s">
        <v>54</v>
      </c>
      <c r="H65" s="36">
        <v>4.0800000000000003E-2</v>
      </c>
      <c r="I65" s="36">
        <v>2.4199999999999999E-2</v>
      </c>
      <c r="J65" s="37">
        <v>26207583</v>
      </c>
      <c r="K65" s="37">
        <v>2304869186924</v>
      </c>
      <c r="L65" s="37">
        <v>2304869186924</v>
      </c>
      <c r="M65" s="37">
        <v>1385113013339</v>
      </c>
      <c r="N65" s="37">
        <v>31695752718</v>
      </c>
      <c r="O65" s="37">
        <v>78098236348</v>
      </c>
      <c r="P65" s="37">
        <v>4162780560</v>
      </c>
      <c r="Q65" s="37">
        <v>144499504356</v>
      </c>
      <c r="R65" s="37">
        <v>174699199680</v>
      </c>
      <c r="S65" s="37">
        <v>1807878605978</v>
      </c>
      <c r="T65" s="37">
        <v>2274171753997</v>
      </c>
      <c r="U65" s="37">
        <v>67296050</v>
      </c>
      <c r="V65" s="37">
        <v>57068302822</v>
      </c>
      <c r="W65" s="37">
        <v>2085314381764</v>
      </c>
      <c r="X65" s="39" t="s">
        <v>54</v>
      </c>
      <c r="Y65" s="47">
        <v>0</v>
      </c>
      <c r="Z65" s="39">
        <v>1</v>
      </c>
      <c r="AA65" s="37">
        <v>140450356519</v>
      </c>
      <c r="AB65" s="37">
        <v>841640609364</v>
      </c>
      <c r="AC65" s="37">
        <v>626675724696</v>
      </c>
      <c r="AD65" s="37">
        <v>543472403975</v>
      </c>
      <c r="AE65" s="37">
        <v>-94740123628</v>
      </c>
      <c r="AF65" s="37">
        <v>40090065106</v>
      </c>
      <c r="AG65" s="37">
        <v>-39932392254</v>
      </c>
      <c r="AH65" s="37">
        <v>24018704684</v>
      </c>
      <c r="AI65" s="37">
        <v>505995082</v>
      </c>
      <c r="AJ65" s="37">
        <v>1340988754015</v>
      </c>
      <c r="AK65" s="37">
        <v>542966408893</v>
      </c>
      <c r="AL65" s="36">
        <v>7.5999999999999998E-2</v>
      </c>
      <c r="AM65" s="37">
        <v>1026571466827</v>
      </c>
      <c r="AN65" s="37">
        <v>-65518957500</v>
      </c>
      <c r="AO65" s="37">
        <v>4823</v>
      </c>
      <c r="AP65" s="39">
        <v>304</v>
      </c>
      <c r="AQ65" s="37">
        <v>33502272845</v>
      </c>
      <c r="AR65" s="39">
        <v>30</v>
      </c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</row>
    <row r="66" spans="1:58" ht="31" x14ac:dyDescent="0.35">
      <c r="A66" s="11">
        <v>13</v>
      </c>
      <c r="B66" s="11" t="s">
        <v>77</v>
      </c>
      <c r="C66" s="12" t="s">
        <v>78</v>
      </c>
      <c r="D66" s="11">
        <v>2023</v>
      </c>
      <c r="E66" s="11"/>
      <c r="F66" s="36">
        <v>7.0000000000000001E-3</v>
      </c>
      <c r="G66" s="36" t="s">
        <v>54</v>
      </c>
      <c r="H66" s="36">
        <v>4.0800000000000003E-2</v>
      </c>
      <c r="I66" s="36">
        <v>2.5700000000000001E-2</v>
      </c>
      <c r="J66" s="37">
        <v>26207583</v>
      </c>
      <c r="K66" s="37">
        <v>2970911732676</v>
      </c>
      <c r="L66" s="37">
        <v>2970830028691</v>
      </c>
      <c r="M66" s="37">
        <v>1566793217359</v>
      </c>
      <c r="N66" s="37">
        <v>34714384478</v>
      </c>
      <c r="O66" s="37">
        <v>78418027049</v>
      </c>
      <c r="P66" s="37">
        <v>4518331133</v>
      </c>
      <c r="Q66" s="37">
        <v>136238672924</v>
      </c>
      <c r="R66" s="37">
        <v>180054586660</v>
      </c>
      <c r="S66" s="37">
        <v>2444695571317</v>
      </c>
      <c r="T66" s="37">
        <v>2707438799074</v>
      </c>
      <c r="U66" s="37">
        <v>40385674</v>
      </c>
      <c r="V66" s="37">
        <v>61935305018</v>
      </c>
      <c r="W66" s="37">
        <v>2710002133011</v>
      </c>
      <c r="X66" s="39" t="s">
        <v>54</v>
      </c>
      <c r="Y66" s="47">
        <v>0</v>
      </c>
      <c r="Z66" s="39">
        <v>1</v>
      </c>
      <c r="AA66" s="37">
        <v>143976462812</v>
      </c>
      <c r="AB66" s="37">
        <v>875597320516</v>
      </c>
      <c r="AC66" s="37">
        <v>812356435851</v>
      </c>
      <c r="AD66" s="37">
        <v>691195896843</v>
      </c>
      <c r="AE66" s="37">
        <v>100387203010</v>
      </c>
      <c r="AF66" s="37">
        <v>41545455963</v>
      </c>
      <c r="AG66" s="37">
        <v>-41392425537</v>
      </c>
      <c r="AH66" s="37">
        <v>27684777127</v>
      </c>
      <c r="AI66" s="37">
        <v>505995082</v>
      </c>
      <c r="AJ66" s="37">
        <v>1452788973105</v>
      </c>
      <c r="AK66" s="37">
        <v>690689901761</v>
      </c>
      <c r="AL66" s="36">
        <v>0.28899999999999998</v>
      </c>
      <c r="AM66" s="37">
        <v>1094837436546</v>
      </c>
      <c r="AN66" s="37">
        <v>-91726540500</v>
      </c>
      <c r="AO66" s="37">
        <v>4820</v>
      </c>
      <c r="AP66" s="39">
        <v>297</v>
      </c>
      <c r="AQ66" s="37">
        <v>20344089632</v>
      </c>
      <c r="AR66" s="39">
        <v>31</v>
      </c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</row>
    <row r="67" spans="1:58" ht="31" x14ac:dyDescent="0.35">
      <c r="A67" s="11">
        <v>13</v>
      </c>
      <c r="B67" s="11" t="s">
        <v>77</v>
      </c>
      <c r="C67" s="12" t="s">
        <v>78</v>
      </c>
      <c r="D67" s="11">
        <v>2024</v>
      </c>
      <c r="E67" s="11"/>
      <c r="F67" s="36">
        <v>8.3999999999999995E-3</v>
      </c>
      <c r="G67" s="36" t="s">
        <v>54</v>
      </c>
      <c r="H67" s="36">
        <v>4.07E-2</v>
      </c>
      <c r="I67" s="36">
        <v>2.0799999999999999E-2</v>
      </c>
      <c r="J67" s="37">
        <v>26207583</v>
      </c>
      <c r="K67" s="37">
        <v>3691795747506</v>
      </c>
      <c r="L67" s="37">
        <v>3691723816321</v>
      </c>
      <c r="M67" s="37">
        <v>1955275823603</v>
      </c>
      <c r="N67" s="37">
        <v>45179244546</v>
      </c>
      <c r="O67" s="37">
        <v>112988621976</v>
      </c>
      <c r="P67" s="37">
        <v>3622945250</v>
      </c>
      <c r="Q67" s="37">
        <v>206826490775</v>
      </c>
      <c r="R67" s="37">
        <v>189488093767</v>
      </c>
      <c r="S67" s="37">
        <v>3051466823653</v>
      </c>
      <c r="T67" s="37">
        <v>3581597567588</v>
      </c>
      <c r="U67" s="37">
        <v>125540520</v>
      </c>
      <c r="V67" s="37">
        <v>64848087688</v>
      </c>
      <c r="W67" s="37">
        <v>3406831215215</v>
      </c>
      <c r="X67" s="39" t="s">
        <v>54</v>
      </c>
      <c r="Y67" s="47">
        <v>0</v>
      </c>
      <c r="Z67" s="39">
        <v>1</v>
      </c>
      <c r="AA67" s="37">
        <v>150229088842</v>
      </c>
      <c r="AB67" s="37">
        <v>909803704136</v>
      </c>
      <c r="AC67" s="37">
        <v>1230655682514</v>
      </c>
      <c r="AD67" s="37">
        <v>1045472119467</v>
      </c>
      <c r="AE67" s="37">
        <v>-130958329159</v>
      </c>
      <c r="AF67" s="37">
        <v>88607229378</v>
      </c>
      <c r="AG67" s="37">
        <v>-94527098956</v>
      </c>
      <c r="AH67" s="37">
        <v>32039406447</v>
      </c>
      <c r="AI67" s="37">
        <v>20777353744</v>
      </c>
      <c r="AJ67" s="37">
        <v>1841282095680</v>
      </c>
      <c r="AK67" s="37">
        <v>1024694765723</v>
      </c>
      <c r="AL67" s="36">
        <v>0.24260000000000001</v>
      </c>
      <c r="AM67" s="37">
        <v>1391721925552</v>
      </c>
      <c r="AN67" s="37">
        <v>-104830332000</v>
      </c>
      <c r="AO67" s="37">
        <v>5159</v>
      </c>
      <c r="AP67" s="39">
        <v>301</v>
      </c>
      <c r="AQ67" s="37">
        <v>106875855954</v>
      </c>
      <c r="AR67" s="39">
        <v>32</v>
      </c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</row>
    <row r="68" spans="1:58" ht="31" x14ac:dyDescent="0.35">
      <c r="A68" s="31">
        <v>14</v>
      </c>
      <c r="B68" s="31" t="s">
        <v>79</v>
      </c>
      <c r="C68" s="32" t="s">
        <v>80</v>
      </c>
      <c r="D68" s="31">
        <v>2020</v>
      </c>
      <c r="E68" s="31"/>
      <c r="F68" s="43" t="s">
        <v>54</v>
      </c>
      <c r="G68" s="43">
        <v>0</v>
      </c>
      <c r="H68" s="43">
        <v>0.32350000000000001</v>
      </c>
      <c r="I68" s="43">
        <v>5.3E-3</v>
      </c>
      <c r="J68" s="34">
        <v>109154493</v>
      </c>
      <c r="K68" s="34">
        <v>3295388684623</v>
      </c>
      <c r="L68" s="34">
        <v>3288654434718</v>
      </c>
      <c r="M68" s="34">
        <v>9731757624586</v>
      </c>
      <c r="N68" s="34">
        <v>205203833489</v>
      </c>
      <c r="O68" s="34">
        <v>262846538239</v>
      </c>
      <c r="P68" s="34">
        <v>371088195752</v>
      </c>
      <c r="Q68" s="34">
        <v>768134699698</v>
      </c>
      <c r="R68" s="34">
        <v>33374481296</v>
      </c>
      <c r="S68" s="34">
        <v>1968265303345</v>
      </c>
      <c r="T68" s="34">
        <v>2782145803152</v>
      </c>
      <c r="U68" s="34">
        <v>20717008976</v>
      </c>
      <c r="V68" s="34">
        <v>416920632441</v>
      </c>
      <c r="W68" s="34">
        <v>3182405162214</v>
      </c>
      <c r="X68" s="31" t="s">
        <v>54</v>
      </c>
      <c r="Y68" s="31">
        <v>1</v>
      </c>
      <c r="Z68" s="31">
        <v>0</v>
      </c>
      <c r="AA68" s="34">
        <v>27085205476</v>
      </c>
      <c r="AB68" s="34">
        <v>2754855936176</v>
      </c>
      <c r="AC68" s="31">
        <v>1964780874000</v>
      </c>
      <c r="AD68" s="34">
        <v>6976901688410</v>
      </c>
      <c r="AE68" s="34">
        <v>227623070328</v>
      </c>
      <c r="AF68" s="34">
        <v>399085334483</v>
      </c>
      <c r="AG68" s="34">
        <v>-1113521578422</v>
      </c>
      <c r="AH68" s="34">
        <v>107099977436</v>
      </c>
      <c r="AI68" s="34">
        <v>4402585270240</v>
      </c>
      <c r="AJ68" s="34">
        <v>3129321210460</v>
      </c>
      <c r="AK68" s="34">
        <v>2574316418170</v>
      </c>
      <c r="AL68" s="33">
        <v>0.1666</v>
      </c>
      <c r="AM68" s="34">
        <v>593256385880</v>
      </c>
      <c r="AN68" s="34">
        <v>-5449766986</v>
      </c>
      <c r="AO68" s="31">
        <v>132</v>
      </c>
      <c r="AP68" s="31" t="s">
        <v>54</v>
      </c>
      <c r="AQ68" s="34">
        <v>4686309351838</v>
      </c>
      <c r="AR68" s="31">
        <v>44</v>
      </c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</row>
    <row r="69" spans="1:58" ht="31" x14ac:dyDescent="0.35">
      <c r="A69" s="31">
        <v>14</v>
      </c>
      <c r="B69" s="31" t="s">
        <v>79</v>
      </c>
      <c r="C69" s="32" t="s">
        <v>80</v>
      </c>
      <c r="D69" s="31">
        <v>2021</v>
      </c>
      <c r="E69" s="31"/>
      <c r="F69" s="43">
        <v>0.1128</v>
      </c>
      <c r="G69" s="43">
        <v>0</v>
      </c>
      <c r="H69" s="43">
        <v>0.31659999999999999</v>
      </c>
      <c r="I69" s="43">
        <v>2.3999999999999998E-3</v>
      </c>
      <c r="J69" s="34">
        <v>118909913</v>
      </c>
      <c r="K69" s="34">
        <v>6315325559458</v>
      </c>
      <c r="L69" s="34">
        <v>6237419990687</v>
      </c>
      <c r="M69" s="34">
        <v>14040007803512</v>
      </c>
      <c r="N69" s="34">
        <v>336077185387</v>
      </c>
      <c r="O69" s="34">
        <v>390963935281</v>
      </c>
      <c r="P69" s="34">
        <v>1830796222829</v>
      </c>
      <c r="Q69" s="34">
        <v>1253609296616</v>
      </c>
      <c r="R69" s="34">
        <v>-208680335</v>
      </c>
      <c r="S69" s="34">
        <v>4026457675968</v>
      </c>
      <c r="T69" s="34">
        <v>5920898112260</v>
      </c>
      <c r="U69" s="34">
        <v>29278554193</v>
      </c>
      <c r="V69" s="31" t="s">
        <v>54</v>
      </c>
      <c r="W69" s="34">
        <v>5976969228345</v>
      </c>
      <c r="X69" s="31" t="s">
        <v>54</v>
      </c>
      <c r="Y69" s="31">
        <v>1</v>
      </c>
      <c r="Z69" s="31">
        <v>1</v>
      </c>
      <c r="AA69" s="34">
        <v>22746196895</v>
      </c>
      <c r="AB69" s="34">
        <v>3916171712435</v>
      </c>
      <c r="AC69" s="31">
        <v>2318743303500</v>
      </c>
      <c r="AD69" s="34">
        <v>10123836091077</v>
      </c>
      <c r="AE69" s="34">
        <v>158264852948</v>
      </c>
      <c r="AF69" s="34">
        <v>677285306134</v>
      </c>
      <c r="AG69" s="34">
        <v>-1453580833835</v>
      </c>
      <c r="AH69" s="34">
        <v>129486697840</v>
      </c>
      <c r="AI69" s="34">
        <v>6462088229533</v>
      </c>
      <c r="AJ69" s="34">
        <v>4760222547773</v>
      </c>
      <c r="AK69" s="34">
        <v>3661747861544</v>
      </c>
      <c r="AL69" s="33">
        <v>0.91639999999999999</v>
      </c>
      <c r="AM69" s="34">
        <v>1251787320381</v>
      </c>
      <c r="AN69" s="34">
        <v>-19505989512</v>
      </c>
      <c r="AO69" s="31">
        <v>76</v>
      </c>
      <c r="AP69" s="34">
        <v>4219</v>
      </c>
      <c r="AQ69" s="34">
        <v>5360395964236</v>
      </c>
      <c r="AR69" s="31">
        <v>45</v>
      </c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</row>
    <row r="70" spans="1:58" ht="31" x14ac:dyDescent="0.35">
      <c r="A70" s="31">
        <v>14</v>
      </c>
      <c r="B70" s="31" t="s">
        <v>79</v>
      </c>
      <c r="C70" s="32" t="s">
        <v>80</v>
      </c>
      <c r="D70" s="31">
        <v>2022</v>
      </c>
      <c r="E70" s="31"/>
      <c r="F70" s="43">
        <v>0.1118</v>
      </c>
      <c r="G70" s="43">
        <v>0</v>
      </c>
      <c r="H70" s="43" t="s">
        <v>54</v>
      </c>
      <c r="I70" s="43" t="s">
        <v>54</v>
      </c>
      <c r="J70" s="34">
        <v>118909913</v>
      </c>
      <c r="K70" s="34">
        <v>7752284820719</v>
      </c>
      <c r="L70" s="34">
        <v>7692849493503</v>
      </c>
      <c r="M70" s="34">
        <v>16528853135802</v>
      </c>
      <c r="N70" s="34">
        <v>444843263796</v>
      </c>
      <c r="O70" s="34">
        <v>434151250448</v>
      </c>
      <c r="P70" s="34">
        <v>1654535989276</v>
      </c>
      <c r="Q70" s="34">
        <v>1407280786568</v>
      </c>
      <c r="R70" s="34">
        <v>157102479655</v>
      </c>
      <c r="S70" s="34">
        <v>5046785855417</v>
      </c>
      <c r="T70" s="34">
        <v>6639345169979</v>
      </c>
      <c r="U70" s="34">
        <v>18039248477</v>
      </c>
      <c r="V70" s="31" t="s">
        <v>54</v>
      </c>
      <c r="W70" s="34">
        <v>7286790019319</v>
      </c>
      <c r="X70" s="31" t="s">
        <v>54</v>
      </c>
      <c r="Y70" s="31">
        <v>1</v>
      </c>
      <c r="Z70" s="31">
        <v>1</v>
      </c>
      <c r="AA70" s="34">
        <v>94852148494</v>
      </c>
      <c r="AB70" s="34">
        <v>4560886399848</v>
      </c>
      <c r="AC70" s="31">
        <v>2853837912000</v>
      </c>
      <c r="AD70" s="34">
        <v>11967966735954</v>
      </c>
      <c r="AE70" s="34">
        <v>-313527998638</v>
      </c>
      <c r="AF70" s="34">
        <v>996213386656</v>
      </c>
      <c r="AG70" s="34">
        <v>-306898181899</v>
      </c>
      <c r="AH70" s="34">
        <v>658938263146</v>
      </c>
      <c r="AI70" s="34">
        <v>5790169919759</v>
      </c>
      <c r="AJ70" s="34">
        <v>7603842882014</v>
      </c>
      <c r="AK70" s="34">
        <v>6177796816195</v>
      </c>
      <c r="AL70" s="33">
        <v>0.22750000000000001</v>
      </c>
      <c r="AM70" s="34">
        <v>1487603780913</v>
      </c>
      <c r="AN70" s="34">
        <v>-22059256358</v>
      </c>
      <c r="AO70" s="31">
        <v>37</v>
      </c>
      <c r="AP70" s="34">
        <v>4356</v>
      </c>
      <c r="AQ70" s="34">
        <v>5129407241168</v>
      </c>
      <c r="AR70" s="31">
        <v>46</v>
      </c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</row>
    <row r="71" spans="1:58" ht="31" x14ac:dyDescent="0.35">
      <c r="A71" s="31">
        <v>14</v>
      </c>
      <c r="B71" s="31" t="s">
        <v>79</v>
      </c>
      <c r="C71" s="32" t="s">
        <v>80</v>
      </c>
      <c r="D71" s="31">
        <v>2023</v>
      </c>
      <c r="E71" s="31"/>
      <c r="F71" s="43" t="s">
        <v>54</v>
      </c>
      <c r="G71" s="43">
        <v>0</v>
      </c>
      <c r="H71" s="43" t="s">
        <v>54</v>
      </c>
      <c r="I71" s="43" t="s">
        <v>54</v>
      </c>
      <c r="J71" s="34">
        <v>118909913</v>
      </c>
      <c r="K71" s="34">
        <v>7769672257671</v>
      </c>
      <c r="L71" s="34">
        <v>7579411153117</v>
      </c>
      <c r="M71" s="34">
        <v>16076744988485</v>
      </c>
      <c r="N71" s="34">
        <v>475804884772</v>
      </c>
      <c r="O71" s="34">
        <v>442837070749</v>
      </c>
      <c r="P71" s="34">
        <v>1607647236792</v>
      </c>
      <c r="Q71" s="34">
        <v>1567859621865</v>
      </c>
      <c r="R71" s="34">
        <v>192700600827</v>
      </c>
      <c r="S71" s="34">
        <v>4842355463208</v>
      </c>
      <c r="T71" s="34">
        <v>6274330367658</v>
      </c>
      <c r="U71" s="34">
        <v>8946547163</v>
      </c>
      <c r="V71" s="31" t="s">
        <v>54</v>
      </c>
      <c r="W71" s="34">
        <v>7176090430897</v>
      </c>
      <c r="X71" s="31" t="s">
        <v>54</v>
      </c>
      <c r="Y71" s="31">
        <v>1</v>
      </c>
      <c r="Z71" s="31">
        <v>1</v>
      </c>
      <c r="AA71" s="34">
        <v>127934575517</v>
      </c>
      <c r="AB71" s="34">
        <v>4658498369133</v>
      </c>
      <c r="AC71" s="31">
        <v>2616018086000</v>
      </c>
      <c r="AD71" s="34">
        <v>11418246619352</v>
      </c>
      <c r="AE71" s="34">
        <v>514357698106</v>
      </c>
      <c r="AF71" s="34">
        <v>304559313782</v>
      </c>
      <c r="AG71" s="34">
        <v>-743002100021</v>
      </c>
      <c r="AH71" s="34">
        <v>727172283500</v>
      </c>
      <c r="AI71" s="34">
        <v>5319432281040</v>
      </c>
      <c r="AJ71" s="34">
        <v>8307329570423</v>
      </c>
      <c r="AK71" s="34">
        <v>6098814338312</v>
      </c>
      <c r="AL71" s="33">
        <v>2.2000000000000001E-3</v>
      </c>
      <c r="AM71" s="34">
        <v>1503263286642</v>
      </c>
      <c r="AN71" s="34">
        <v>-20564250192</v>
      </c>
      <c r="AO71" s="31">
        <v>340</v>
      </c>
      <c r="AP71" s="34">
        <v>3671</v>
      </c>
      <c r="AQ71" s="34">
        <v>4113555696990</v>
      </c>
      <c r="AR71" s="31">
        <v>47</v>
      </c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</row>
    <row r="72" spans="1:58" ht="31" x14ac:dyDescent="0.35">
      <c r="A72" s="31">
        <v>14</v>
      </c>
      <c r="B72" s="31" t="s">
        <v>79</v>
      </c>
      <c r="C72" s="32" t="s">
        <v>80</v>
      </c>
      <c r="D72" s="31">
        <v>2024</v>
      </c>
      <c r="E72" s="31"/>
      <c r="F72" s="43">
        <v>4.2799999999999998E-2</v>
      </c>
      <c r="G72" s="43">
        <v>0</v>
      </c>
      <c r="H72" s="43" t="s">
        <v>54</v>
      </c>
      <c r="I72" s="43" t="s">
        <v>54</v>
      </c>
      <c r="J72" s="34">
        <v>140966036</v>
      </c>
      <c r="K72" s="34">
        <v>9080994413188</v>
      </c>
      <c r="L72" s="34">
        <v>8898420034233</v>
      </c>
      <c r="M72" s="34">
        <v>17673463331856</v>
      </c>
      <c r="N72" s="34">
        <v>527120243660</v>
      </c>
      <c r="O72" s="34">
        <v>467256252225</v>
      </c>
      <c r="P72" s="34">
        <v>1324854339303</v>
      </c>
      <c r="Q72" s="34">
        <v>1601593064924</v>
      </c>
      <c r="R72" s="34">
        <v>431193010644</v>
      </c>
      <c r="S72" s="34">
        <v>5982755503111</v>
      </c>
      <c r="T72" s="34">
        <v>7470304011891</v>
      </c>
      <c r="U72" s="34">
        <v>10393200831</v>
      </c>
      <c r="V72" s="31" t="s">
        <v>54</v>
      </c>
      <c r="W72" s="34">
        <v>8384726603211</v>
      </c>
      <c r="X72" s="31" t="s">
        <v>54</v>
      </c>
      <c r="Y72" s="31">
        <v>1</v>
      </c>
      <c r="Z72" s="31">
        <v>1</v>
      </c>
      <c r="AA72" s="34">
        <v>191791308858</v>
      </c>
      <c r="AB72" s="34">
        <v>6075281539977</v>
      </c>
      <c r="AC72" s="31">
        <v>2889803738000</v>
      </c>
      <c r="AD72" s="34">
        <v>11598181791879</v>
      </c>
      <c r="AE72" s="34">
        <v>640706515259</v>
      </c>
      <c r="AF72" s="34">
        <v>441929329807</v>
      </c>
      <c r="AG72" s="34">
        <v>527660264460</v>
      </c>
      <c r="AH72" s="34">
        <v>1320565735071</v>
      </c>
      <c r="AI72" s="34">
        <v>5755973402282</v>
      </c>
      <c r="AJ72" s="34">
        <v>8859009475274</v>
      </c>
      <c r="AK72" s="34">
        <v>5842208389597</v>
      </c>
      <c r="AL72" s="33">
        <v>0.16880000000000001</v>
      </c>
      <c r="AM72" s="34">
        <v>1582968735755</v>
      </c>
      <c r="AN72" s="34">
        <v>-20502592580</v>
      </c>
      <c r="AO72" s="31">
        <v>336</v>
      </c>
      <c r="AP72" s="34">
        <v>3868</v>
      </c>
      <c r="AQ72" s="34">
        <v>5710514270634</v>
      </c>
      <c r="AR72" s="31">
        <v>48</v>
      </c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</row>
    <row r="73" spans="1:58" ht="46.5" x14ac:dyDescent="0.35">
      <c r="A73" s="11">
        <v>15</v>
      </c>
      <c r="B73" s="11" t="s">
        <v>81</v>
      </c>
      <c r="C73" s="12" t="s">
        <v>82</v>
      </c>
      <c r="D73" s="11">
        <v>2020</v>
      </c>
      <c r="E73" s="11"/>
      <c r="F73" s="42" t="s">
        <v>54</v>
      </c>
      <c r="G73" s="42">
        <v>0</v>
      </c>
      <c r="H73" s="42">
        <v>0.28699999999999998</v>
      </c>
      <c r="I73" s="42">
        <v>0.129</v>
      </c>
      <c r="J73" s="16">
        <v>66968478</v>
      </c>
      <c r="K73" s="16">
        <v>1322932348593</v>
      </c>
      <c r="L73" s="16">
        <v>1322455489093</v>
      </c>
      <c r="M73" s="16">
        <v>3924850529198</v>
      </c>
      <c r="N73" s="16">
        <v>88894108168</v>
      </c>
      <c r="O73" s="16">
        <v>73055833430</v>
      </c>
      <c r="P73" s="16">
        <v>481559607</v>
      </c>
      <c r="Q73" s="16">
        <v>758891961099</v>
      </c>
      <c r="R73" s="16">
        <v>398359913939</v>
      </c>
      <c r="S73" s="16">
        <v>58168871285</v>
      </c>
      <c r="T73" s="16">
        <v>658847679324</v>
      </c>
      <c r="U73" s="11">
        <v>0</v>
      </c>
      <c r="V73" s="16">
        <v>381348629127</v>
      </c>
      <c r="W73" s="16">
        <v>881292946570</v>
      </c>
      <c r="X73" s="16" t="s">
        <v>54</v>
      </c>
      <c r="Y73" s="16">
        <v>0</v>
      </c>
      <c r="Z73" s="11">
        <v>0</v>
      </c>
      <c r="AA73" s="16">
        <v>327761852317</v>
      </c>
      <c r="AB73" s="16">
        <v>1583967443762</v>
      </c>
      <c r="AC73" s="16">
        <v>1635370232760</v>
      </c>
      <c r="AD73" s="16">
        <v>2340883085436</v>
      </c>
      <c r="AE73" s="16">
        <v>457376396262</v>
      </c>
      <c r="AF73" s="16">
        <v>105651201712</v>
      </c>
      <c r="AG73" s="16">
        <v>-170201896794</v>
      </c>
      <c r="AH73" s="16">
        <v>151556122436</v>
      </c>
      <c r="AI73" s="16">
        <v>938845851625</v>
      </c>
      <c r="AJ73" s="16">
        <v>2382523920831</v>
      </c>
      <c r="AK73" s="16">
        <v>1402037233811</v>
      </c>
      <c r="AL73" s="29">
        <v>6.4000000000000003E-3</v>
      </c>
      <c r="AM73" s="16">
        <v>47840139559</v>
      </c>
      <c r="AN73" s="11">
        <v>0</v>
      </c>
      <c r="AO73" s="16">
        <v>4379</v>
      </c>
      <c r="AP73" s="11">
        <v>359</v>
      </c>
      <c r="AQ73" s="16">
        <v>80068752676</v>
      </c>
      <c r="AR73" s="11">
        <v>28</v>
      </c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</row>
    <row r="74" spans="1:58" ht="46.5" x14ac:dyDescent="0.35">
      <c r="A74" s="11">
        <v>15</v>
      </c>
      <c r="B74" s="11" t="s">
        <v>81</v>
      </c>
      <c r="C74" s="12" t="s">
        <v>82</v>
      </c>
      <c r="D74" s="11">
        <v>2021</v>
      </c>
      <c r="E74" s="11"/>
      <c r="F74" s="42" t="s">
        <v>54</v>
      </c>
      <c r="G74" s="42">
        <v>0</v>
      </c>
      <c r="H74" s="42">
        <v>0.28699999999999998</v>
      </c>
      <c r="I74" s="42">
        <v>0.129</v>
      </c>
      <c r="J74" s="16">
        <v>73259802</v>
      </c>
      <c r="K74" s="16">
        <v>884273309528</v>
      </c>
      <c r="L74" s="16">
        <v>884273309528</v>
      </c>
      <c r="M74" s="16">
        <v>3984854642787</v>
      </c>
      <c r="N74" s="16">
        <v>55048941507</v>
      </c>
      <c r="O74" s="16">
        <v>61720377587</v>
      </c>
      <c r="P74" s="16">
        <v>273994619</v>
      </c>
      <c r="Q74" s="16">
        <v>444642663867</v>
      </c>
      <c r="R74" s="16">
        <v>298348529417</v>
      </c>
      <c r="S74" s="16">
        <v>88843034547</v>
      </c>
      <c r="T74" s="16">
        <v>463330170605</v>
      </c>
      <c r="U74" s="11">
        <v>0</v>
      </c>
      <c r="V74" s="16">
        <v>237207167977</v>
      </c>
      <c r="W74" s="16">
        <v>588824743774</v>
      </c>
      <c r="X74" s="16" t="s">
        <v>54</v>
      </c>
      <c r="Y74" s="16">
        <v>0</v>
      </c>
      <c r="Z74" s="11">
        <v>0</v>
      </c>
      <c r="AA74" s="16">
        <v>252812782617</v>
      </c>
      <c r="AB74" s="16">
        <v>1787856413072</v>
      </c>
      <c r="AC74" s="16">
        <v>2810246004720</v>
      </c>
      <c r="AD74" s="16">
        <v>2196998229715</v>
      </c>
      <c r="AE74" s="16">
        <v>44234060083</v>
      </c>
      <c r="AF74" s="16">
        <v>170069371140</v>
      </c>
      <c r="AG74" s="16">
        <v>-172640696068</v>
      </c>
      <c r="AH74" s="16">
        <v>94189722384</v>
      </c>
      <c r="AI74" s="16">
        <v>965786951006</v>
      </c>
      <c r="AJ74" s="16">
        <v>2100298588526</v>
      </c>
      <c r="AK74" s="16">
        <v>1231211278709</v>
      </c>
      <c r="AL74" s="29">
        <v>-0.33129999999999998</v>
      </c>
      <c r="AM74" s="16">
        <v>39114885484</v>
      </c>
      <c r="AN74" s="11">
        <v>0</v>
      </c>
      <c r="AO74" s="16">
        <v>2920</v>
      </c>
      <c r="AP74" s="11">
        <v>331</v>
      </c>
      <c r="AQ74" s="16">
        <v>66921470290</v>
      </c>
      <c r="AR74" s="11">
        <v>29</v>
      </c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</row>
    <row r="75" spans="1:58" ht="46.5" x14ac:dyDescent="0.35">
      <c r="A75" s="11">
        <v>15</v>
      </c>
      <c r="B75" s="11" t="s">
        <v>81</v>
      </c>
      <c r="C75" s="12" t="s">
        <v>82</v>
      </c>
      <c r="D75" s="11">
        <v>2022</v>
      </c>
      <c r="E75" s="11"/>
      <c r="F75" s="42" t="s">
        <v>54</v>
      </c>
      <c r="G75" s="42">
        <v>0</v>
      </c>
      <c r="H75" s="42">
        <v>0.31</v>
      </c>
      <c r="I75" s="42">
        <v>0.09</v>
      </c>
      <c r="J75" s="16">
        <v>76295802</v>
      </c>
      <c r="K75" s="16">
        <v>859149585991</v>
      </c>
      <c r="L75" s="16">
        <v>859106395991</v>
      </c>
      <c r="M75" s="16">
        <v>4242772246428</v>
      </c>
      <c r="N75" s="16">
        <v>40304753828</v>
      </c>
      <c r="O75" s="16">
        <v>52948621642</v>
      </c>
      <c r="P75" s="16">
        <v>85586963</v>
      </c>
      <c r="Q75" s="16">
        <v>430831490717</v>
      </c>
      <c r="R75" s="16">
        <v>180324316116</v>
      </c>
      <c r="S75" s="16">
        <v>143423777710</v>
      </c>
      <c r="T75" s="16">
        <v>531352527613</v>
      </c>
      <c r="U75" s="11">
        <v>0</v>
      </c>
      <c r="V75" s="16">
        <v>186240724076</v>
      </c>
      <c r="W75" s="16">
        <v>635363432535</v>
      </c>
      <c r="X75" s="16" t="s">
        <v>54</v>
      </c>
      <c r="Y75" s="16">
        <v>0</v>
      </c>
      <c r="Z75" s="11">
        <v>0</v>
      </c>
      <c r="AA75" s="16">
        <v>152083434886</v>
      </c>
      <c r="AB75" s="16">
        <v>1940861114810</v>
      </c>
      <c r="AC75" s="16">
        <v>1208144024670</v>
      </c>
      <c r="AD75" s="16">
        <v>2301911131618</v>
      </c>
      <c r="AE75" s="16">
        <v>129849164559</v>
      </c>
      <c r="AF75" s="16">
        <v>506999664482</v>
      </c>
      <c r="AG75" s="16">
        <v>-496408222217</v>
      </c>
      <c r="AH75" s="16">
        <v>122310178437</v>
      </c>
      <c r="AI75" s="16">
        <v>959944892586</v>
      </c>
      <c r="AJ75" s="16">
        <v>2058952095072</v>
      </c>
      <c r="AK75" s="16">
        <v>1341966239032</v>
      </c>
      <c r="AL75" s="29">
        <v>-2.8400000000000002E-2</v>
      </c>
      <c r="AM75" s="16">
        <v>28357356032</v>
      </c>
      <c r="AN75" s="11">
        <v>0</v>
      </c>
      <c r="AO75" s="16">
        <v>1717</v>
      </c>
      <c r="AP75" s="11">
        <v>310</v>
      </c>
      <c r="AQ75" s="16">
        <v>84264509092</v>
      </c>
      <c r="AR75" s="11">
        <v>30</v>
      </c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</row>
    <row r="76" spans="1:58" ht="46.5" x14ac:dyDescent="0.35">
      <c r="A76" s="11">
        <v>15</v>
      </c>
      <c r="B76" s="11" t="s">
        <v>81</v>
      </c>
      <c r="C76" s="12" t="s">
        <v>82</v>
      </c>
      <c r="D76" s="11">
        <v>2023</v>
      </c>
      <c r="E76" s="11"/>
      <c r="F76" s="42" t="s">
        <v>54</v>
      </c>
      <c r="G76" s="42">
        <v>0</v>
      </c>
      <c r="H76" s="42">
        <v>0.31</v>
      </c>
      <c r="I76" s="42">
        <v>0.03</v>
      </c>
      <c r="J76" s="16">
        <v>76295802</v>
      </c>
      <c r="K76" s="16">
        <v>528626774295</v>
      </c>
      <c r="L76" s="16">
        <v>528624280295</v>
      </c>
      <c r="M76" s="16">
        <v>4276640408536</v>
      </c>
      <c r="N76" s="16">
        <v>12979768779</v>
      </c>
      <c r="O76" s="16">
        <v>50431304194</v>
      </c>
      <c r="P76" s="11">
        <v>0</v>
      </c>
      <c r="Q76" s="16">
        <v>198192973716</v>
      </c>
      <c r="R76" s="16">
        <v>104562954428</v>
      </c>
      <c r="S76" s="16">
        <v>110851739282</v>
      </c>
      <c r="T76" s="16">
        <v>289718246071</v>
      </c>
      <c r="U76" s="11">
        <v>0</v>
      </c>
      <c r="V76" s="16">
        <v>51950504475</v>
      </c>
      <c r="W76" s="16">
        <v>360743500991</v>
      </c>
      <c r="X76" s="16" t="s">
        <v>54</v>
      </c>
      <c r="Y76" s="16">
        <v>0</v>
      </c>
      <c r="Z76" s="11">
        <v>0</v>
      </c>
      <c r="AA76" s="16">
        <v>73765686756</v>
      </c>
      <c r="AB76" s="16">
        <v>1997736533052</v>
      </c>
      <c r="AC76" s="16">
        <v>1728252506904</v>
      </c>
      <c r="AD76" s="16">
        <v>2278903875484</v>
      </c>
      <c r="AE76" s="16">
        <v>28989288407</v>
      </c>
      <c r="AF76" s="16">
        <v>217904249263</v>
      </c>
      <c r="AG76" s="16">
        <v>-96717941166</v>
      </c>
      <c r="AH76" s="16">
        <v>103747605098</v>
      </c>
      <c r="AI76" s="16">
        <v>1010999341709</v>
      </c>
      <c r="AJ76" s="16">
        <v>1984914732339</v>
      </c>
      <c r="AK76" s="16">
        <v>1267904533775</v>
      </c>
      <c r="AL76" s="29">
        <v>-0.38500000000000001</v>
      </c>
      <c r="AM76" s="16">
        <v>28547468767</v>
      </c>
      <c r="AN76" s="11">
        <v>0</v>
      </c>
      <c r="AO76" s="11">
        <v>802</v>
      </c>
      <c r="AP76" s="11">
        <v>241</v>
      </c>
      <c r="AQ76" s="16">
        <v>78618951479</v>
      </c>
      <c r="AR76" s="11">
        <v>31</v>
      </c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</row>
    <row r="77" spans="1:58" ht="46.5" x14ac:dyDescent="0.35">
      <c r="A77" s="11">
        <v>15</v>
      </c>
      <c r="B77" s="11" t="s">
        <v>81</v>
      </c>
      <c r="C77" s="12" t="s">
        <v>82</v>
      </c>
      <c r="D77" s="11">
        <v>2024</v>
      </c>
      <c r="E77" s="11"/>
      <c r="F77" s="42">
        <v>6.2199999999999998E-2</v>
      </c>
      <c r="G77" s="42">
        <v>0</v>
      </c>
      <c r="H77" s="42">
        <v>0.22600000000000001</v>
      </c>
      <c r="I77" s="42">
        <v>3.3000000000000002E-2</v>
      </c>
      <c r="J77" s="16">
        <v>114443703</v>
      </c>
      <c r="K77" s="16">
        <v>401275176502</v>
      </c>
      <c r="L77" s="16">
        <v>401275176502</v>
      </c>
      <c r="M77" s="16">
        <v>4927312656996</v>
      </c>
      <c r="N77" s="16">
        <v>14392764968</v>
      </c>
      <c r="O77" s="16">
        <v>56565636616</v>
      </c>
      <c r="P77" s="11">
        <v>0</v>
      </c>
      <c r="Q77" s="16">
        <v>131474371913</v>
      </c>
      <c r="R77" s="16">
        <v>121731081732</v>
      </c>
      <c r="S77" s="16">
        <v>92406553616</v>
      </c>
      <c r="T77" s="16">
        <v>216518454136</v>
      </c>
      <c r="U77" s="11">
        <v>0</v>
      </c>
      <c r="V77" s="16">
        <v>95067379644</v>
      </c>
      <c r="W77" s="16">
        <v>294557343015</v>
      </c>
      <c r="X77" s="16" t="s">
        <v>54</v>
      </c>
      <c r="Y77" s="16">
        <v>0</v>
      </c>
      <c r="Z77" s="11">
        <v>1</v>
      </c>
      <c r="AA77" s="16">
        <v>52962990927</v>
      </c>
      <c r="AB77" s="16">
        <v>2650788454530</v>
      </c>
      <c r="AC77" s="16">
        <v>2122930690650</v>
      </c>
      <c r="AD77" s="16">
        <v>2276524202466</v>
      </c>
      <c r="AE77" s="16">
        <v>321893925712</v>
      </c>
      <c r="AF77" s="16">
        <v>303510405783</v>
      </c>
      <c r="AG77" s="16">
        <v>-887254504041</v>
      </c>
      <c r="AH77" s="16">
        <v>15826811638</v>
      </c>
      <c r="AI77" s="16">
        <v>1208439960386</v>
      </c>
      <c r="AJ77" s="16">
        <v>2013574626937</v>
      </c>
      <c r="AK77" s="16">
        <v>1068084242080</v>
      </c>
      <c r="AL77" s="29">
        <v>-0.24099999999999999</v>
      </c>
      <c r="AM77" s="16">
        <v>21466981472</v>
      </c>
      <c r="AN77" s="11">
        <v>0</v>
      </c>
      <c r="AO77" s="11">
        <v>477</v>
      </c>
      <c r="AP77" s="11">
        <v>225</v>
      </c>
      <c r="AQ77" s="16">
        <v>53933440767</v>
      </c>
      <c r="AR77" s="11">
        <v>32</v>
      </c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</row>
    <row r="78" spans="1:58" ht="46.5" x14ac:dyDescent="0.35">
      <c r="A78" s="31">
        <v>16</v>
      </c>
      <c r="B78" s="31" t="s">
        <v>83</v>
      </c>
      <c r="C78" s="32" t="s">
        <v>84</v>
      </c>
      <c r="D78" s="31">
        <v>2020</v>
      </c>
      <c r="E78" s="31"/>
      <c r="F78" s="43">
        <v>3.6799999999999999E-2</v>
      </c>
      <c r="G78" s="31" t="s">
        <v>54</v>
      </c>
      <c r="H78" s="43">
        <v>3.6499999999999998E-2</v>
      </c>
      <c r="I78" s="43">
        <v>2.75E-2</v>
      </c>
      <c r="J78" s="34">
        <v>32086864</v>
      </c>
      <c r="K78" s="34">
        <v>2100807686518</v>
      </c>
      <c r="L78" s="34">
        <v>1883771417605</v>
      </c>
      <c r="M78" s="34">
        <v>1839713382719</v>
      </c>
      <c r="N78" s="34">
        <v>-268375629385</v>
      </c>
      <c r="O78" s="34">
        <v>-38778388057</v>
      </c>
      <c r="P78" s="34">
        <v>55001732796</v>
      </c>
      <c r="Q78" s="34">
        <v>857263738546</v>
      </c>
      <c r="R78" s="34">
        <v>213689420322</v>
      </c>
      <c r="S78" s="34">
        <v>538514169612</v>
      </c>
      <c r="T78" s="34">
        <v>-1561605890113</v>
      </c>
      <c r="U78" s="34">
        <v>8571814944</v>
      </c>
      <c r="V78" s="34">
        <v>137850634411</v>
      </c>
      <c r="W78" s="34">
        <v>1657691662234</v>
      </c>
      <c r="X78" s="34" t="s">
        <v>54</v>
      </c>
      <c r="Y78" s="31">
        <v>1</v>
      </c>
      <c r="Z78" s="31">
        <v>1</v>
      </c>
      <c r="AA78" s="34">
        <v>163370547212</v>
      </c>
      <c r="AB78" s="34">
        <v>967789942229</v>
      </c>
      <c r="AC78" s="31">
        <v>849788506176</v>
      </c>
      <c r="AD78" s="34">
        <v>871923440490</v>
      </c>
      <c r="AE78" s="34">
        <v>-100973396237</v>
      </c>
      <c r="AF78" s="34">
        <v>3594504221</v>
      </c>
      <c r="AG78" s="34">
        <v>46676445630</v>
      </c>
      <c r="AH78" s="34">
        <v>329808777912</v>
      </c>
      <c r="AI78" s="34">
        <v>38670541051</v>
      </c>
      <c r="AJ78" s="34">
        <v>1453000678609</v>
      </c>
      <c r="AK78" s="34">
        <v>833252899439</v>
      </c>
      <c r="AL78" s="33">
        <v>-0.08</v>
      </c>
      <c r="AM78" s="34">
        <v>709129429682</v>
      </c>
      <c r="AN78" s="34">
        <v>-79201500250</v>
      </c>
      <c r="AO78" s="34">
        <v>4437</v>
      </c>
      <c r="AP78" s="34">
        <v>1268</v>
      </c>
      <c r="AQ78" s="34">
        <v>117327312691</v>
      </c>
      <c r="AR78" s="34">
        <v>27</v>
      </c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</row>
    <row r="79" spans="1:58" ht="46.5" x14ac:dyDescent="0.35">
      <c r="A79" s="31">
        <v>16</v>
      </c>
      <c r="B79" s="31" t="s">
        <v>83</v>
      </c>
      <c r="C79" s="32" t="s">
        <v>84</v>
      </c>
      <c r="D79" s="31">
        <v>2021</v>
      </c>
      <c r="E79" s="31"/>
      <c r="F79" s="43">
        <v>3.3000000000000002E-2</v>
      </c>
      <c r="G79" s="31" t="s">
        <v>54</v>
      </c>
      <c r="H79" s="43">
        <v>3.6299999999999999E-2</v>
      </c>
      <c r="I79" s="43">
        <v>2.6100000000000002E-2</v>
      </c>
      <c r="J79" s="34">
        <v>32086864</v>
      </c>
      <c r="K79" s="34">
        <v>2224437842861</v>
      </c>
      <c r="L79" s="34">
        <v>2076105673412</v>
      </c>
      <c r="M79" s="34">
        <v>1899745184773</v>
      </c>
      <c r="N79" s="34">
        <v>-272368161162</v>
      </c>
      <c r="O79" s="34">
        <v>-38700263685</v>
      </c>
      <c r="P79" s="34">
        <v>53586203002</v>
      </c>
      <c r="Q79" s="34">
        <v>965582951672</v>
      </c>
      <c r="R79" s="34">
        <v>203580029954</v>
      </c>
      <c r="S79" s="34">
        <v>633663998846</v>
      </c>
      <c r="T79" s="34">
        <v>-1671799007602</v>
      </c>
      <c r="U79" s="34">
        <v>11209425621</v>
      </c>
      <c r="V79" s="34">
        <v>219588953187</v>
      </c>
      <c r="W79" s="34">
        <v>1874393492955</v>
      </c>
      <c r="X79" s="34" t="s">
        <v>54</v>
      </c>
      <c r="Y79" s="31">
        <v>1</v>
      </c>
      <c r="Z79" s="31">
        <v>1</v>
      </c>
      <c r="AA79" s="34">
        <v>165051187390</v>
      </c>
      <c r="AB79" s="34">
        <v>1018947833993</v>
      </c>
      <c r="AC79" s="31">
        <v>1021709923488</v>
      </c>
      <c r="AD79" s="34">
        <v>880797350780</v>
      </c>
      <c r="AE79" s="34">
        <v>776998925418</v>
      </c>
      <c r="AF79" s="34">
        <v>1879704128</v>
      </c>
      <c r="AG79" s="34">
        <v>10883528349</v>
      </c>
      <c r="AH79" s="34">
        <v>692146001851</v>
      </c>
      <c r="AI79" s="34">
        <v>36438021051</v>
      </c>
      <c r="AJ79" s="34">
        <v>1520309833588</v>
      </c>
      <c r="AK79" s="34">
        <v>44070336995</v>
      </c>
      <c r="AL79" s="33">
        <v>5.8848869002336796E-2</v>
      </c>
      <c r="AM79" s="34">
        <v>605202380985</v>
      </c>
      <c r="AN79" s="34">
        <v>-95091163850</v>
      </c>
      <c r="AO79" s="34">
        <v>4224</v>
      </c>
      <c r="AP79" s="31">
        <v>1269</v>
      </c>
      <c r="AQ79" s="34">
        <v>107775233019</v>
      </c>
      <c r="AR79" s="31">
        <v>28</v>
      </c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</row>
    <row r="80" spans="1:58" ht="46.5" x14ac:dyDescent="0.35">
      <c r="A80" s="31">
        <v>16</v>
      </c>
      <c r="B80" s="31" t="s">
        <v>83</v>
      </c>
      <c r="C80" s="32" t="s">
        <v>84</v>
      </c>
      <c r="D80" s="31">
        <v>2022</v>
      </c>
      <c r="E80" s="31"/>
      <c r="F80" s="43">
        <v>3.7499999999999999E-2</v>
      </c>
      <c r="G80" s="31" t="s">
        <v>54</v>
      </c>
      <c r="H80" s="43">
        <v>0.54879999999999995</v>
      </c>
      <c r="I80" s="43">
        <v>2.6599999999999999E-2</v>
      </c>
      <c r="J80" s="34">
        <v>41712614</v>
      </c>
      <c r="K80" s="34">
        <v>3250924265573</v>
      </c>
      <c r="L80" s="34">
        <v>2976781079922</v>
      </c>
      <c r="M80" s="34">
        <v>2756470776119</v>
      </c>
      <c r="N80" s="34">
        <v>-388581305582</v>
      </c>
      <c r="O80" s="34">
        <v>-54535187552</v>
      </c>
      <c r="P80" s="34">
        <v>56354093757</v>
      </c>
      <c r="Q80" s="34">
        <v>1130944522081</v>
      </c>
      <c r="R80" s="34">
        <v>285674035358</v>
      </c>
      <c r="S80" s="34">
        <v>1206059261601</v>
      </c>
      <c r="T80" s="34">
        <v>-1821612228615</v>
      </c>
      <c r="U80" s="34">
        <v>9082598620</v>
      </c>
      <c r="V80" s="34">
        <v>297991122207</v>
      </c>
      <c r="W80" s="34">
        <v>2729880614439</v>
      </c>
      <c r="X80" s="34" t="s">
        <v>54</v>
      </c>
      <c r="Y80" s="31">
        <v>1</v>
      </c>
      <c r="Z80" s="31">
        <v>1</v>
      </c>
      <c r="AA80" s="34">
        <v>229164235398</v>
      </c>
      <c r="AB80" s="34">
        <v>1139296722199</v>
      </c>
      <c r="AC80" s="31">
        <v>1179632723920</v>
      </c>
      <c r="AD80" s="34">
        <v>1617174053920</v>
      </c>
      <c r="AE80" s="34">
        <v>-83005654272</v>
      </c>
      <c r="AF80" s="34">
        <v>13261878101</v>
      </c>
      <c r="AG80" s="34">
        <v>-503850886754</v>
      </c>
      <c r="AH80" s="34">
        <v>208420873572</v>
      </c>
      <c r="AI80" s="34">
        <v>2311062676</v>
      </c>
      <c r="AJ80" s="34">
        <v>2387283735919</v>
      </c>
      <c r="AK80" s="34">
        <v>1614362991244</v>
      </c>
      <c r="AL80" s="33">
        <v>0.46145880227957564</v>
      </c>
      <c r="AM80" s="34">
        <v>1050249601987</v>
      </c>
      <c r="AN80" s="34">
        <v>-79277280000</v>
      </c>
      <c r="AO80" s="34">
        <v>4805</v>
      </c>
      <c r="AP80" s="31">
        <v>1394</v>
      </c>
      <c r="AQ80" s="34">
        <v>105202196451</v>
      </c>
      <c r="AR80" s="31">
        <v>29</v>
      </c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</row>
    <row r="81" spans="1:58" ht="46.5" x14ac:dyDescent="0.35">
      <c r="A81" s="31">
        <v>16</v>
      </c>
      <c r="B81" s="31" t="s">
        <v>83</v>
      </c>
      <c r="C81" s="32" t="s">
        <v>84</v>
      </c>
      <c r="D81" s="31">
        <v>2023</v>
      </c>
      <c r="E81" s="31"/>
      <c r="F81" s="43">
        <v>3.7999999999999999E-2</v>
      </c>
      <c r="G81" s="31" t="s">
        <v>54</v>
      </c>
      <c r="H81" s="43">
        <v>0.55000000000000004</v>
      </c>
      <c r="I81" s="43">
        <v>2.7400000000000001E-2</v>
      </c>
      <c r="J81" s="34">
        <v>41712614</v>
      </c>
      <c r="K81" s="34">
        <v>3557307559071</v>
      </c>
      <c r="L81" s="34">
        <v>3262419854557</v>
      </c>
      <c r="M81" s="34">
        <v>2945607648935</v>
      </c>
      <c r="N81" s="34">
        <v>353026887379</v>
      </c>
      <c r="O81" s="34">
        <v>81595742730</v>
      </c>
      <c r="P81" s="34">
        <v>54652817494</v>
      </c>
      <c r="Q81" s="34">
        <v>1870828300648</v>
      </c>
      <c r="R81" s="34">
        <v>376927313184</v>
      </c>
      <c r="S81" s="34">
        <v>629357133289</v>
      </c>
      <c r="T81" s="34">
        <v>-2471198374666</v>
      </c>
      <c r="U81" s="34">
        <v>8258347317</v>
      </c>
      <c r="V81" s="34">
        <v>190189286681</v>
      </c>
      <c r="W81" s="34">
        <v>2947065098049</v>
      </c>
      <c r="X81" s="34" t="s">
        <v>54</v>
      </c>
      <c r="Y81" s="31">
        <v>1</v>
      </c>
      <c r="Z81" s="31">
        <v>1</v>
      </c>
      <c r="AA81" s="34">
        <v>295577433645</v>
      </c>
      <c r="AB81" s="34">
        <v>1245627587805</v>
      </c>
      <c r="AC81" s="31">
        <v>1332217465932</v>
      </c>
      <c r="AD81" s="34">
        <v>1699980061130</v>
      </c>
      <c r="AE81" s="34">
        <v>-7314666610</v>
      </c>
      <c r="AF81" s="34">
        <v>15109027506</v>
      </c>
      <c r="AG81" s="34">
        <v>-118319689638</v>
      </c>
      <c r="AH81" s="34">
        <v>129881543766</v>
      </c>
      <c r="AI81" s="34">
        <v>1993449076</v>
      </c>
      <c r="AJ81" s="34">
        <v>2572762883973</v>
      </c>
      <c r="AK81" s="34">
        <v>1697986612054</v>
      </c>
      <c r="AL81" s="33">
        <v>9.4244980340690163E-2</v>
      </c>
      <c r="AM81" s="34">
        <v>1062519677715</v>
      </c>
      <c r="AN81" s="34">
        <v>-144234793500</v>
      </c>
      <c r="AO81" s="34">
        <v>6124</v>
      </c>
      <c r="AP81" s="34">
        <v>1390</v>
      </c>
      <c r="AQ81" s="34">
        <v>98583969763</v>
      </c>
      <c r="AR81" s="34">
        <v>30</v>
      </c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</row>
    <row r="82" spans="1:58" ht="46.5" x14ac:dyDescent="0.35">
      <c r="A82" s="31">
        <v>16</v>
      </c>
      <c r="B82" s="31" t="s">
        <v>83</v>
      </c>
      <c r="C82" s="32" t="s">
        <v>84</v>
      </c>
      <c r="D82" s="31">
        <v>2024</v>
      </c>
      <c r="E82" s="31"/>
      <c r="F82" s="43">
        <v>3.7199999999999997E-2</v>
      </c>
      <c r="G82" s="31" t="s">
        <v>54</v>
      </c>
      <c r="H82" s="43">
        <v>0.54930000000000001</v>
      </c>
      <c r="I82" s="43">
        <v>2.3699999999999999E-2</v>
      </c>
      <c r="J82" s="34">
        <v>41712614</v>
      </c>
      <c r="K82" s="34">
        <v>3807316034483</v>
      </c>
      <c r="L82" s="34">
        <v>3497261422831</v>
      </c>
      <c r="M82" s="34">
        <v>2495777592059</v>
      </c>
      <c r="N82" s="34">
        <v>439033274534</v>
      </c>
      <c r="O82" s="34">
        <v>91177951491</v>
      </c>
      <c r="P82" s="34">
        <v>53644494712</v>
      </c>
      <c r="Q82" s="34">
        <v>184296574654</v>
      </c>
      <c r="R82" s="34">
        <v>568426380706</v>
      </c>
      <c r="S82" s="34">
        <v>737065340545</v>
      </c>
      <c r="T82" s="34">
        <v>2471861435128</v>
      </c>
      <c r="U82" s="34">
        <v>7853966955</v>
      </c>
      <c r="V82" s="34">
        <v>47443200282</v>
      </c>
      <c r="W82" s="34">
        <v>1416956198262</v>
      </c>
      <c r="X82" s="34" t="s">
        <v>54</v>
      </c>
      <c r="Y82" s="31">
        <v>1</v>
      </c>
      <c r="Z82" s="31">
        <v>1</v>
      </c>
      <c r="AA82" s="34">
        <v>471270606233</v>
      </c>
      <c r="AB82" s="34">
        <v>1605876352574</v>
      </c>
      <c r="AC82" s="31">
        <v>3146340761406</v>
      </c>
      <c r="AD82" s="34">
        <v>889901239485</v>
      </c>
      <c r="AE82" s="34">
        <v>150837498043</v>
      </c>
      <c r="AF82" s="34">
        <v>15001682246</v>
      </c>
      <c r="AG82" s="34">
        <v>896502047282</v>
      </c>
      <c r="AH82" s="34">
        <v>800792811413</v>
      </c>
      <c r="AI82" s="34">
        <v>16297060756</v>
      </c>
      <c r="AJ82" s="34">
        <v>2206932220207</v>
      </c>
      <c r="AK82" s="34">
        <v>873604178729</v>
      </c>
      <c r="AL82" s="33">
        <v>7.0280253045449451E-2</v>
      </c>
      <c r="AM82" s="34">
        <v>945932893417</v>
      </c>
      <c r="AN82" s="34">
        <v>-175093830955</v>
      </c>
      <c r="AO82" s="34">
        <v>10143</v>
      </c>
      <c r="AP82" s="34">
        <v>1433</v>
      </c>
      <c r="AQ82" s="34">
        <v>196548152050</v>
      </c>
      <c r="AR82" s="34">
        <v>31</v>
      </c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</row>
    <row r="83" spans="1:58" ht="31" x14ac:dyDescent="0.35">
      <c r="A83" s="11">
        <v>17</v>
      </c>
      <c r="B83" s="11" t="s">
        <v>85</v>
      </c>
      <c r="C83" s="12" t="s">
        <v>86</v>
      </c>
      <c r="D83" s="11">
        <v>2020</v>
      </c>
      <c r="E83" s="11"/>
      <c r="F83" s="45">
        <v>8.4000000000000003E-4</v>
      </c>
      <c r="G83" s="45">
        <v>0.47689999999999999</v>
      </c>
      <c r="H83" s="45" t="s">
        <v>54</v>
      </c>
      <c r="I83" s="45">
        <v>7.2700000000000001E-2</v>
      </c>
      <c r="J83" s="17">
        <v>34000000</v>
      </c>
      <c r="K83" s="17">
        <v>386239280462</v>
      </c>
      <c r="L83" s="17">
        <v>386239280462</v>
      </c>
      <c r="M83" s="17">
        <v>705655668545</v>
      </c>
      <c r="N83" s="17">
        <v>665529748</v>
      </c>
      <c r="O83" s="17">
        <v>21130719528</v>
      </c>
      <c r="P83" s="17">
        <v>81396199349</v>
      </c>
      <c r="Q83" s="17">
        <v>223804427702</v>
      </c>
      <c r="R83" s="17">
        <v>114516073944</v>
      </c>
      <c r="S83" s="17">
        <v>24449407789</v>
      </c>
      <c r="T83" s="17">
        <v>264645898313</v>
      </c>
      <c r="U83" s="19" t="s">
        <v>54</v>
      </c>
      <c r="V83" s="17">
        <v>157771080503</v>
      </c>
      <c r="W83" s="17">
        <v>283355301193</v>
      </c>
      <c r="X83" s="19" t="s">
        <v>54</v>
      </c>
      <c r="Y83" s="19">
        <v>0</v>
      </c>
      <c r="Z83" s="19">
        <v>1</v>
      </c>
      <c r="AA83" s="17">
        <v>98534565046</v>
      </c>
      <c r="AB83" s="17">
        <v>647099064005</v>
      </c>
      <c r="AC83" s="17">
        <v>725152000000</v>
      </c>
      <c r="AD83" s="17">
        <v>58556604540</v>
      </c>
      <c r="AE83" s="17">
        <v>156664616504</v>
      </c>
      <c r="AF83" s="17">
        <v>7603767081</v>
      </c>
      <c r="AG83" s="17">
        <v>56390567210</v>
      </c>
      <c r="AH83" s="17">
        <v>174579078394</v>
      </c>
      <c r="AI83" s="17">
        <v>1335051972</v>
      </c>
      <c r="AJ83" s="17">
        <v>297069184444</v>
      </c>
      <c r="AK83" s="17">
        <v>57221552568</v>
      </c>
      <c r="AL83" s="45">
        <v>0.10290000000000001</v>
      </c>
      <c r="AM83" s="17">
        <v>1071137444</v>
      </c>
      <c r="AN83" s="17">
        <v>-75812621200</v>
      </c>
      <c r="AO83" s="17">
        <v>2674</v>
      </c>
      <c r="AP83" s="19">
        <v>38</v>
      </c>
      <c r="AQ83" s="17">
        <v>225294237087</v>
      </c>
      <c r="AR83" s="19">
        <v>13</v>
      </c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</row>
    <row r="84" spans="1:58" ht="31" x14ac:dyDescent="0.35">
      <c r="A84" s="11">
        <v>17</v>
      </c>
      <c r="B84" s="11" t="s">
        <v>85</v>
      </c>
      <c r="C84" s="12" t="s">
        <v>86</v>
      </c>
      <c r="D84" s="11">
        <v>2021</v>
      </c>
      <c r="E84" s="11"/>
      <c r="F84" s="45">
        <v>8.4000000000000003E-4</v>
      </c>
      <c r="G84" s="45">
        <v>0.47689999999999999</v>
      </c>
      <c r="H84" s="45" t="s">
        <v>54</v>
      </c>
      <c r="I84" s="45">
        <v>7.2499999999999995E-2</v>
      </c>
      <c r="J84" s="17">
        <v>34000000</v>
      </c>
      <c r="K84" s="17">
        <v>264280885731</v>
      </c>
      <c r="L84" s="17">
        <v>264280885731</v>
      </c>
      <c r="M84" s="17">
        <v>640142678371</v>
      </c>
      <c r="N84" s="17">
        <v>103881001</v>
      </c>
      <c r="O84" s="48">
        <v>15148402108</v>
      </c>
      <c r="P84" s="17">
        <v>79737201260</v>
      </c>
      <c r="Q84" s="17">
        <v>132297565971</v>
      </c>
      <c r="R84" s="17">
        <v>102144757909</v>
      </c>
      <c r="S84" s="17">
        <v>17642629451</v>
      </c>
      <c r="T84" s="17">
        <v>90155046355</v>
      </c>
      <c r="U84" s="19" t="s">
        <v>54</v>
      </c>
      <c r="V84" s="17">
        <v>63108974952</v>
      </c>
      <c r="W84" s="17">
        <v>176973584835</v>
      </c>
      <c r="X84" s="19" t="s">
        <v>54</v>
      </c>
      <c r="Y84" s="19">
        <v>0</v>
      </c>
      <c r="Z84" s="19">
        <v>0</v>
      </c>
      <c r="AA84" s="17">
        <v>88550967433</v>
      </c>
      <c r="AB84" s="17">
        <v>625411779689</v>
      </c>
      <c r="AC84" s="17">
        <v>830654000000</v>
      </c>
      <c r="AD84" s="17">
        <v>14730898682</v>
      </c>
      <c r="AE84" s="17">
        <v>103428944860</v>
      </c>
      <c r="AF84" s="17">
        <v>5655596558</v>
      </c>
      <c r="AG84" s="17">
        <v>20587253093</v>
      </c>
      <c r="AH84" s="17">
        <v>218756362058</v>
      </c>
      <c r="AI84" s="19">
        <v>0</v>
      </c>
      <c r="AJ84" s="17">
        <v>340542941305</v>
      </c>
      <c r="AK84" s="17">
        <v>14730898682</v>
      </c>
      <c r="AL84" s="45">
        <v>-0.31580000000000003</v>
      </c>
      <c r="AM84" s="17">
        <v>2367582000</v>
      </c>
      <c r="AN84" s="17">
        <v>-74448917300</v>
      </c>
      <c r="AO84" s="17">
        <v>2401</v>
      </c>
      <c r="AP84" s="19">
        <v>37</v>
      </c>
      <c r="AQ84" s="17">
        <v>119252067464</v>
      </c>
      <c r="AR84" s="19">
        <v>14</v>
      </c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</row>
    <row r="85" spans="1:58" ht="31" x14ac:dyDescent="0.35">
      <c r="A85" s="11">
        <v>17</v>
      </c>
      <c r="B85" s="11" t="s">
        <v>85</v>
      </c>
      <c r="C85" s="12" t="s">
        <v>86</v>
      </c>
      <c r="D85" s="11">
        <v>2022</v>
      </c>
      <c r="E85" s="11"/>
      <c r="F85" s="45">
        <v>8.4000000000000003E-4</v>
      </c>
      <c r="G85" s="45">
        <v>0.47689999999999999</v>
      </c>
      <c r="H85" s="45" t="s">
        <v>54</v>
      </c>
      <c r="I85" s="45">
        <v>6.9099999999999995E-2</v>
      </c>
      <c r="J85" s="17">
        <v>34000000</v>
      </c>
      <c r="K85" s="17">
        <v>263727304688</v>
      </c>
      <c r="L85" s="17">
        <v>263727304688</v>
      </c>
      <c r="M85" s="17">
        <v>703998424827</v>
      </c>
      <c r="N85" s="17">
        <v>3450859328</v>
      </c>
      <c r="O85" s="17">
        <v>23556431798</v>
      </c>
      <c r="P85" s="17">
        <v>78166436494</v>
      </c>
      <c r="Q85" s="17">
        <v>117452953249</v>
      </c>
      <c r="R85" s="17">
        <v>109930820864</v>
      </c>
      <c r="S85" s="17">
        <v>20944761838</v>
      </c>
      <c r="T85" s="17">
        <v>69942539578</v>
      </c>
      <c r="U85" s="19" t="s">
        <v>54</v>
      </c>
      <c r="V85" s="17">
        <v>59972618240</v>
      </c>
      <c r="W85" s="17">
        <v>165509530037</v>
      </c>
      <c r="X85" s="19" t="s">
        <v>54</v>
      </c>
      <c r="Y85" s="19">
        <v>0</v>
      </c>
      <c r="Z85" s="19">
        <v>0</v>
      </c>
      <c r="AA85" s="17">
        <v>90631796057</v>
      </c>
      <c r="AB85" s="17">
        <v>650374737780</v>
      </c>
      <c r="AC85" s="17">
        <v>677110000000</v>
      </c>
      <c r="AD85" s="17">
        <v>53623687047</v>
      </c>
      <c r="AE85" s="17">
        <v>120483581658</v>
      </c>
      <c r="AF85" s="17">
        <v>13641983521</v>
      </c>
      <c r="AG85" s="17">
        <v>-30466621772</v>
      </c>
      <c r="AH85" s="17">
        <v>221034411588</v>
      </c>
      <c r="AI85" s="19">
        <v>0</v>
      </c>
      <c r="AJ85" s="17">
        <v>355357778109</v>
      </c>
      <c r="AK85" s="17">
        <v>53623687047</v>
      </c>
      <c r="AL85" s="45">
        <v>-2.0999999999999999E-3</v>
      </c>
      <c r="AM85" s="17">
        <v>1082804000</v>
      </c>
      <c r="AN85" s="17">
        <v>-80748972200</v>
      </c>
      <c r="AO85" s="17">
        <v>2532</v>
      </c>
      <c r="AP85" s="19">
        <v>39</v>
      </c>
      <c r="AQ85" s="48">
        <v>153356358114</v>
      </c>
      <c r="AR85" s="19">
        <v>15</v>
      </c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</row>
    <row r="86" spans="1:58" ht="31" x14ac:dyDescent="0.35">
      <c r="A86" s="11">
        <v>17</v>
      </c>
      <c r="B86" s="11" t="s">
        <v>85</v>
      </c>
      <c r="C86" s="12" t="s">
        <v>86</v>
      </c>
      <c r="D86" s="11">
        <v>2023</v>
      </c>
      <c r="E86" s="11"/>
      <c r="F86" s="45">
        <v>1.0300000000000001E-3</v>
      </c>
      <c r="G86" s="45">
        <v>0.47689999999999999</v>
      </c>
      <c r="H86" s="45" t="s">
        <v>54</v>
      </c>
      <c r="I86" s="45">
        <v>0.1018</v>
      </c>
      <c r="J86" s="17">
        <v>34000000</v>
      </c>
      <c r="K86" s="17">
        <v>306291069080</v>
      </c>
      <c r="L86" s="17">
        <v>306291069080</v>
      </c>
      <c r="M86" s="17">
        <v>612867501021</v>
      </c>
      <c r="N86" s="17">
        <v>1750327065</v>
      </c>
      <c r="O86" s="17">
        <v>20643056627</v>
      </c>
      <c r="P86" s="17">
        <v>76567905092</v>
      </c>
      <c r="Q86" s="17">
        <v>149731620177</v>
      </c>
      <c r="R86" s="17">
        <v>115589281912</v>
      </c>
      <c r="S86" s="17">
        <v>22971262446</v>
      </c>
      <c r="T86" s="17">
        <v>66134901620</v>
      </c>
      <c r="U86" s="19" t="s">
        <v>54</v>
      </c>
      <c r="V86" s="17">
        <v>98343872907</v>
      </c>
      <c r="W86" s="17">
        <v>202717158239</v>
      </c>
      <c r="X86" s="19" t="s">
        <v>54</v>
      </c>
      <c r="Y86" s="19">
        <v>0</v>
      </c>
      <c r="Z86" s="19">
        <v>1</v>
      </c>
      <c r="AA86" s="17">
        <v>93406910813</v>
      </c>
      <c r="AB86" s="17">
        <v>590892928199</v>
      </c>
      <c r="AC86" s="17">
        <v>1092352000000</v>
      </c>
      <c r="AD86" s="17">
        <v>21974572822</v>
      </c>
      <c r="AE86" s="17">
        <v>116330169249</v>
      </c>
      <c r="AF86" s="17">
        <v>4631165800</v>
      </c>
      <c r="AG86" s="17">
        <v>146255601336</v>
      </c>
      <c r="AH86" s="17">
        <v>228171368733</v>
      </c>
      <c r="AI86" s="19">
        <v>0</v>
      </c>
      <c r="AJ86" s="17">
        <v>340058873826</v>
      </c>
      <c r="AK86" s="17">
        <v>21974572822</v>
      </c>
      <c r="AL86" s="45">
        <v>0.16139999999999999</v>
      </c>
      <c r="AM86" s="17">
        <v>5185890519</v>
      </c>
      <c r="AN86" s="17">
        <v>-123818772240</v>
      </c>
      <c r="AO86" s="17">
        <v>2711</v>
      </c>
      <c r="AP86" s="19">
        <v>39</v>
      </c>
      <c r="AQ86" s="17">
        <v>94482327950</v>
      </c>
      <c r="AR86" s="19">
        <v>16</v>
      </c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</row>
    <row r="87" spans="1:58" ht="31" x14ac:dyDescent="0.35">
      <c r="A87" s="11">
        <v>17</v>
      </c>
      <c r="B87" s="11" t="s">
        <v>85</v>
      </c>
      <c r="C87" s="12" t="s">
        <v>86</v>
      </c>
      <c r="D87" s="11">
        <v>2024</v>
      </c>
      <c r="E87" s="11"/>
      <c r="F87" s="45">
        <v>1.7866E-2</v>
      </c>
      <c r="G87" s="45">
        <v>0.47689999999999999</v>
      </c>
      <c r="H87" s="45" t="s">
        <v>54</v>
      </c>
      <c r="I87" s="45">
        <v>0.10589999999999999</v>
      </c>
      <c r="J87" s="17">
        <v>34000000</v>
      </c>
      <c r="K87" s="17">
        <v>322588699271</v>
      </c>
      <c r="L87" s="17">
        <v>322588699271</v>
      </c>
      <c r="M87" s="17">
        <v>618211320921</v>
      </c>
      <c r="N87" s="17">
        <v>1108620560</v>
      </c>
      <c r="O87" s="17">
        <v>27997315982</v>
      </c>
      <c r="P87" s="17">
        <v>74983257008</v>
      </c>
      <c r="Q87" s="17">
        <v>163222642121</v>
      </c>
      <c r="R87" s="17">
        <v>119593968162</v>
      </c>
      <c r="S87" s="17">
        <v>21558593596</v>
      </c>
      <c r="T87" s="17">
        <v>58483439336</v>
      </c>
      <c r="U87" s="17">
        <v>1323457756</v>
      </c>
      <c r="V87" s="17">
        <v>114957131134</v>
      </c>
      <c r="W87" s="17">
        <v>215693906314</v>
      </c>
      <c r="X87" s="19" t="s">
        <v>54</v>
      </c>
      <c r="Y87" s="19">
        <v>0</v>
      </c>
      <c r="Z87" s="19">
        <v>1</v>
      </c>
      <c r="AA87" s="17">
        <v>95924290680</v>
      </c>
      <c r="AB87" s="17">
        <v>593271622182</v>
      </c>
      <c r="AC87" s="17">
        <v>1127712000000</v>
      </c>
      <c r="AD87" s="17">
        <v>24939698739</v>
      </c>
      <c r="AE87" s="17">
        <v>51555885602</v>
      </c>
      <c r="AF87" s="17">
        <v>13050095238</v>
      </c>
      <c r="AG87" s="17">
        <v>-100188851575</v>
      </c>
      <c r="AH87" s="17">
        <v>91729692660</v>
      </c>
      <c r="AI87" s="19">
        <v>0</v>
      </c>
      <c r="AJ87" s="17">
        <v>350811169163</v>
      </c>
      <c r="AK87" s="17">
        <v>24939698739</v>
      </c>
      <c r="AL87" s="45">
        <v>5.3199999999999997E-2</v>
      </c>
      <c r="AM87" s="17">
        <v>5530675211</v>
      </c>
      <c r="AN87" s="17">
        <v>-87808710100</v>
      </c>
      <c r="AO87" s="17">
        <v>2723</v>
      </c>
      <c r="AP87" s="19">
        <v>39</v>
      </c>
      <c r="AQ87" s="17">
        <v>77965663989</v>
      </c>
      <c r="AR87" s="19">
        <v>17</v>
      </c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</row>
    <row r="88" spans="1:58" ht="31" x14ac:dyDescent="0.35">
      <c r="A88" s="31">
        <v>18</v>
      </c>
      <c r="B88" s="31" t="s">
        <v>87</v>
      </c>
      <c r="C88" s="32" t="s">
        <v>88</v>
      </c>
      <c r="D88" s="31">
        <v>2020</v>
      </c>
      <c r="E88" s="31"/>
      <c r="F88" s="43">
        <v>2.3699999999999999E-4</v>
      </c>
      <c r="G88" s="43">
        <v>0.55810000000000004</v>
      </c>
      <c r="H88" s="43">
        <v>1.15E-2</v>
      </c>
      <c r="I88" s="43">
        <v>0.1169</v>
      </c>
      <c r="J88" s="34">
        <v>40124790</v>
      </c>
      <c r="K88" s="34">
        <v>1138040948029</v>
      </c>
      <c r="L88" s="34">
        <v>1137598059314</v>
      </c>
      <c r="M88" s="34">
        <v>3775415293753</v>
      </c>
      <c r="N88" s="34">
        <v>19322999825</v>
      </c>
      <c r="O88" s="34">
        <v>91544569309</v>
      </c>
      <c r="P88" s="34">
        <v>1395293637</v>
      </c>
      <c r="Q88" s="34">
        <v>262735188146</v>
      </c>
      <c r="R88" s="34">
        <v>258396770529</v>
      </c>
      <c r="S88" s="34">
        <v>315068533985</v>
      </c>
      <c r="T88" s="34">
        <v>850541573309</v>
      </c>
      <c r="U88" s="34">
        <v>38858982087</v>
      </c>
      <c r="V88" s="34">
        <v>31942518539</v>
      </c>
      <c r="W88" s="34">
        <v>964263861996</v>
      </c>
      <c r="X88" s="31" t="s">
        <v>54</v>
      </c>
      <c r="Y88" s="31">
        <v>1</v>
      </c>
      <c r="Z88" s="31">
        <v>1</v>
      </c>
      <c r="AA88" s="34">
        <v>211688100230</v>
      </c>
      <c r="AB88" s="34">
        <v>2332493649808</v>
      </c>
      <c r="AC88" s="31">
        <v>716708998980</v>
      </c>
      <c r="AD88" s="34">
        <v>1450323589001</v>
      </c>
      <c r="AE88" s="34">
        <v>86490673308</v>
      </c>
      <c r="AF88" s="34">
        <v>94273512097</v>
      </c>
      <c r="AG88" s="34">
        <v>249240157345</v>
      </c>
      <c r="AH88" s="34">
        <v>366150953174</v>
      </c>
      <c r="AI88" s="34">
        <v>893919610524</v>
      </c>
      <c r="AJ88" s="34">
        <v>1228187224955</v>
      </c>
      <c r="AK88" s="34">
        <v>556403978477</v>
      </c>
      <c r="AL88" s="33">
        <v>0.1014</v>
      </c>
      <c r="AM88" s="34">
        <v>162335412690</v>
      </c>
      <c r="AN88" s="34">
        <v>-205646049000</v>
      </c>
      <c r="AO88" s="34">
        <v>4435</v>
      </c>
      <c r="AP88" s="34">
        <v>2859</v>
      </c>
      <c r="AQ88" s="34">
        <v>1546041957209</v>
      </c>
      <c r="AR88" s="31">
        <v>39</v>
      </c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</row>
    <row r="89" spans="1:58" ht="31" x14ac:dyDescent="0.35">
      <c r="A89" s="31">
        <v>18</v>
      </c>
      <c r="B89" s="31" t="s">
        <v>87</v>
      </c>
      <c r="C89" s="32" t="s">
        <v>88</v>
      </c>
      <c r="D89" s="31">
        <v>2021</v>
      </c>
      <c r="E89" s="31"/>
      <c r="F89" s="43">
        <v>2.9500000000000001E-4</v>
      </c>
      <c r="G89" s="43">
        <v>0.55810000000000004</v>
      </c>
      <c r="H89" s="43">
        <v>3.5799999999999998E-2</v>
      </c>
      <c r="I89" s="43">
        <v>7.8600000000000003E-2</v>
      </c>
      <c r="J89" s="34">
        <v>43000000</v>
      </c>
      <c r="K89" s="34">
        <v>1217826616841</v>
      </c>
      <c r="L89" s="34">
        <v>1216841125268</v>
      </c>
      <c r="M89" s="34">
        <v>4032489894814</v>
      </c>
      <c r="N89" s="34">
        <v>32850338103</v>
      </c>
      <c r="O89" s="34">
        <v>85666204569</v>
      </c>
      <c r="P89" s="34">
        <v>1230317715</v>
      </c>
      <c r="Q89" s="34">
        <v>237711460970</v>
      </c>
      <c r="R89" s="34">
        <v>352350933327</v>
      </c>
      <c r="S89" s="34">
        <v>249537526373</v>
      </c>
      <c r="T89" s="34">
        <v>842834693786</v>
      </c>
      <c r="U89" s="34">
        <v>44939798370</v>
      </c>
      <c r="V89" s="34">
        <v>43030823066</v>
      </c>
      <c r="W89" s="34">
        <v>875587012638</v>
      </c>
      <c r="X89" s="31" t="s">
        <v>54</v>
      </c>
      <c r="Y89" s="31">
        <v>1</v>
      </c>
      <c r="Z89" s="31">
        <v>1</v>
      </c>
      <c r="AA89" s="34">
        <v>472577534709</v>
      </c>
      <c r="AB89" s="34">
        <v>2744404297867</v>
      </c>
      <c r="AC89" s="31">
        <v>1312962000000</v>
      </c>
      <c r="AD89" s="34">
        <v>1289937301637</v>
      </c>
      <c r="AE89" s="34">
        <v>707108416833</v>
      </c>
      <c r="AF89" s="34">
        <v>53473507264</v>
      </c>
      <c r="AG89" s="34">
        <v>-313069740061</v>
      </c>
      <c r="AH89" s="34">
        <v>593108178577</v>
      </c>
      <c r="AI89" s="34">
        <v>824478638698</v>
      </c>
      <c r="AJ89" s="34">
        <v>1618485780193</v>
      </c>
      <c r="AK89" s="34">
        <v>465458662939</v>
      </c>
      <c r="AL89" s="33">
        <v>7.0099999999999996E-2</v>
      </c>
      <c r="AM89" s="34">
        <v>213840783921</v>
      </c>
      <c r="AN89" s="34">
        <v>-182055563450</v>
      </c>
      <c r="AO89" s="34">
        <v>8773</v>
      </c>
      <c r="AP89" s="34">
        <v>2631</v>
      </c>
      <c r="AQ89" s="34">
        <v>1473351629828</v>
      </c>
      <c r="AR89" s="31">
        <v>40</v>
      </c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</row>
    <row r="90" spans="1:58" ht="31" x14ac:dyDescent="0.35">
      <c r="A90" s="31">
        <v>18</v>
      </c>
      <c r="B90" s="31" t="s">
        <v>87</v>
      </c>
      <c r="C90" s="32" t="s">
        <v>88</v>
      </c>
      <c r="D90" s="31">
        <v>2022</v>
      </c>
      <c r="E90" s="31"/>
      <c r="F90" s="43">
        <v>3.3799999999999998E-4</v>
      </c>
      <c r="G90" s="43">
        <v>0.55245</v>
      </c>
      <c r="H90" s="43" t="s">
        <v>54</v>
      </c>
      <c r="I90" s="43">
        <v>2.4469999999999999E-2</v>
      </c>
      <c r="J90" s="34">
        <v>43442966</v>
      </c>
      <c r="K90" s="34">
        <v>1211541255258</v>
      </c>
      <c r="L90" s="34">
        <v>1210731831577</v>
      </c>
      <c r="M90" s="34">
        <v>4164860326412</v>
      </c>
      <c r="N90" s="34">
        <v>26842981825</v>
      </c>
      <c r="O90" s="34">
        <v>95254305836</v>
      </c>
      <c r="P90" s="34">
        <v>1318825664</v>
      </c>
      <c r="Q90" s="34">
        <v>337920906482</v>
      </c>
      <c r="R90" s="34">
        <v>311140021188</v>
      </c>
      <c r="S90" s="34">
        <v>291203212055</v>
      </c>
      <c r="T90" s="34">
        <v>828941748783</v>
      </c>
      <c r="U90" s="34">
        <v>44950342209</v>
      </c>
      <c r="V90" s="34">
        <v>49128872774</v>
      </c>
      <c r="W90" s="34">
        <v>1008640727135</v>
      </c>
      <c r="X90" s="31" t="s">
        <v>54</v>
      </c>
      <c r="Y90" s="31">
        <v>1</v>
      </c>
      <c r="Z90" s="31">
        <v>1</v>
      </c>
      <c r="AA90" s="34">
        <v>291190347309</v>
      </c>
      <c r="AB90" s="34">
        <v>2994576946347</v>
      </c>
      <c r="AC90" s="31">
        <v>1009440757976</v>
      </c>
      <c r="AD90" s="34">
        <v>1173569060380</v>
      </c>
      <c r="AE90" s="34">
        <v>282861233145</v>
      </c>
      <c r="AF90" s="34">
        <v>79305074684</v>
      </c>
      <c r="AG90" s="34">
        <v>-346461555912</v>
      </c>
      <c r="AH90" s="34">
        <v>311048755901</v>
      </c>
      <c r="AI90" s="34">
        <v>874436852008</v>
      </c>
      <c r="AJ90" s="34">
        <v>1885073999051</v>
      </c>
      <c r="AK90" s="34">
        <v>299132208372</v>
      </c>
      <c r="AL90" s="33">
        <v>-5.6800000000000003E-2</v>
      </c>
      <c r="AM90" s="34">
        <v>194002211764</v>
      </c>
      <c r="AN90" s="34">
        <v>-170974298300</v>
      </c>
      <c r="AO90" s="34">
        <v>5767</v>
      </c>
      <c r="AP90" s="34">
        <v>2404</v>
      </c>
      <c r="AQ90" s="34">
        <v>1425000383339</v>
      </c>
      <c r="AR90" s="31">
        <v>41</v>
      </c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</row>
    <row r="91" spans="1:58" ht="31" x14ac:dyDescent="0.35">
      <c r="A91" s="31">
        <v>18</v>
      </c>
      <c r="B91" s="31" t="s">
        <v>87</v>
      </c>
      <c r="C91" s="32" t="s">
        <v>88</v>
      </c>
      <c r="D91" s="31">
        <v>2023</v>
      </c>
      <c r="E91" s="31"/>
      <c r="F91" s="43">
        <v>4.6299999999999998E-4</v>
      </c>
      <c r="G91" s="43" t="s">
        <v>54</v>
      </c>
      <c r="H91" s="43">
        <v>0.61209999999999998</v>
      </c>
      <c r="I91" s="43">
        <v>3.04E-2</v>
      </c>
      <c r="J91" s="34">
        <v>86885932</v>
      </c>
      <c r="K91" s="34">
        <v>1041911277064</v>
      </c>
      <c r="L91" s="34">
        <v>1041122401105</v>
      </c>
      <c r="M91" s="34">
        <v>4258257438099</v>
      </c>
      <c r="N91" s="34">
        <v>22057210239</v>
      </c>
      <c r="O91" s="34">
        <v>94235246278</v>
      </c>
      <c r="P91" s="34">
        <v>1139808009</v>
      </c>
      <c r="Q91" s="34">
        <v>292860523752</v>
      </c>
      <c r="R91" s="34">
        <v>272486789365</v>
      </c>
      <c r="S91" s="34">
        <v>179572143880</v>
      </c>
      <c r="T91" s="34">
        <v>734396292169</v>
      </c>
      <c r="U91" s="34">
        <v>42494182754</v>
      </c>
      <c r="V91" s="34">
        <v>39709824051</v>
      </c>
      <c r="W91" s="34">
        <v>866618915830</v>
      </c>
      <c r="X91" s="31" t="s">
        <v>54</v>
      </c>
      <c r="Y91" s="31">
        <v>1</v>
      </c>
      <c r="Z91" s="31">
        <v>1</v>
      </c>
      <c r="AA91" s="34">
        <v>254104618230</v>
      </c>
      <c r="AB91" s="34">
        <v>3059221272030</v>
      </c>
      <c r="AC91" s="31">
        <v>2521516632572</v>
      </c>
      <c r="AD91" s="34">
        <v>1203919256442</v>
      </c>
      <c r="AE91" s="34">
        <v>230157322014</v>
      </c>
      <c r="AF91" s="34">
        <v>89858689005</v>
      </c>
      <c r="AG91" s="34">
        <v>-86279957371</v>
      </c>
      <c r="AH91" s="34">
        <v>319773928740</v>
      </c>
      <c r="AI91" s="34">
        <v>964702679582</v>
      </c>
      <c r="AJ91" s="34">
        <v>2006038664631</v>
      </c>
      <c r="AK91" s="34">
        <v>239216576860</v>
      </c>
      <c r="AL91" s="33">
        <v>-0.14000000000000001</v>
      </c>
      <c r="AM91" s="34">
        <v>163961755059</v>
      </c>
      <c r="AN91" s="34">
        <v>-131302350850</v>
      </c>
      <c r="AO91" s="34">
        <v>3388</v>
      </c>
      <c r="AP91" s="34">
        <v>2096</v>
      </c>
      <c r="AQ91" s="34">
        <v>1378905184038</v>
      </c>
      <c r="AR91" s="31">
        <v>42</v>
      </c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</row>
    <row r="92" spans="1:58" ht="31" x14ac:dyDescent="0.35">
      <c r="A92" s="31">
        <v>18</v>
      </c>
      <c r="B92" s="31" t="s">
        <v>87</v>
      </c>
      <c r="C92" s="32" t="s">
        <v>88</v>
      </c>
      <c r="D92" s="31">
        <v>2024</v>
      </c>
      <c r="E92" s="31"/>
      <c r="F92" s="43">
        <v>4.3100000000000001E-4</v>
      </c>
      <c r="G92" s="43">
        <v>0.55245</v>
      </c>
      <c r="H92" s="43" t="s">
        <v>54</v>
      </c>
      <c r="I92" s="43">
        <v>5.0110000000000002E-2</v>
      </c>
      <c r="J92" s="34">
        <v>86885932</v>
      </c>
      <c r="K92" s="34">
        <v>1225313177658</v>
      </c>
      <c r="L92" s="34">
        <v>1224455210843</v>
      </c>
      <c r="M92" s="34">
        <v>4488156217220</v>
      </c>
      <c r="N92" s="34">
        <v>20101086432</v>
      </c>
      <c r="O92" s="34">
        <v>139738536359</v>
      </c>
      <c r="P92" s="34">
        <v>1305302354</v>
      </c>
      <c r="Q92" s="34">
        <v>376439072585</v>
      </c>
      <c r="R92" s="34">
        <v>318388413022</v>
      </c>
      <c r="S92" s="34">
        <v>168084778528</v>
      </c>
      <c r="T92" s="34">
        <v>818942083125</v>
      </c>
      <c r="U92" s="34">
        <v>19520190114</v>
      </c>
      <c r="V92" s="34">
        <v>33028736931</v>
      </c>
      <c r="W92" s="34">
        <v>970623527206</v>
      </c>
      <c r="X92" s="31" t="s">
        <v>54</v>
      </c>
      <c r="Y92" s="31">
        <v>1</v>
      </c>
      <c r="Z92" s="31">
        <v>1</v>
      </c>
      <c r="AA92" s="34">
        <v>324254719041</v>
      </c>
      <c r="AB92" s="34">
        <v>3239911054968</v>
      </c>
      <c r="AC92" s="31">
        <v>3209653214012</v>
      </c>
      <c r="AD92" s="34">
        <v>1253181048318</v>
      </c>
      <c r="AE92" s="34">
        <v>356558313132</v>
      </c>
      <c r="AF92" s="31">
        <v>85548607730</v>
      </c>
      <c r="AG92" s="34">
        <v>-231881834086</v>
      </c>
      <c r="AH92" s="34">
        <v>325585437397</v>
      </c>
      <c r="AI92" s="34">
        <v>997558317609</v>
      </c>
      <c r="AJ92" s="34">
        <v>2200223977759</v>
      </c>
      <c r="AK92" s="34">
        <v>255622730709</v>
      </c>
      <c r="AL92" s="33">
        <v>0.17599999999999999</v>
      </c>
      <c r="AM92" s="34">
        <v>151333644253</v>
      </c>
      <c r="AN92" s="34">
        <v>-129878461200</v>
      </c>
      <c r="AO92" s="34">
        <v>3000</v>
      </c>
      <c r="AP92" s="34">
        <v>2478</v>
      </c>
      <c r="AQ92" s="34">
        <v>1379293885186</v>
      </c>
      <c r="AR92" s="31">
        <v>43</v>
      </c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</row>
    <row r="93" spans="1:58" ht="31" x14ac:dyDescent="0.35">
      <c r="A93" s="11">
        <v>19</v>
      </c>
      <c r="B93" s="11" t="s">
        <v>89</v>
      </c>
      <c r="C93" s="12" t="s">
        <v>90</v>
      </c>
      <c r="D93" s="11">
        <v>2020</v>
      </c>
      <c r="E93" s="11"/>
      <c r="F93" s="42">
        <v>3.4200000000000001E-2</v>
      </c>
      <c r="G93" s="42">
        <v>0</v>
      </c>
      <c r="H93" s="42">
        <v>0.54220000000000002</v>
      </c>
      <c r="I93" s="42">
        <v>0.1174</v>
      </c>
      <c r="J93" s="16">
        <v>21920000</v>
      </c>
      <c r="K93" s="16">
        <v>401540601460</v>
      </c>
      <c r="L93" s="16">
        <v>401540601460</v>
      </c>
      <c r="M93" s="16">
        <v>391500488516</v>
      </c>
      <c r="N93" s="16">
        <v>4898329123</v>
      </c>
      <c r="O93" s="16">
        <v>17066844047</v>
      </c>
      <c r="P93" s="16">
        <v>6152468806</v>
      </c>
      <c r="Q93" s="16">
        <v>231787880870</v>
      </c>
      <c r="R93" s="16">
        <v>151157825947</v>
      </c>
      <c r="S93" s="16">
        <v>20757936175</v>
      </c>
      <c r="T93" s="16">
        <v>235267596949</v>
      </c>
      <c r="U93" s="16">
        <v>3804200943</v>
      </c>
      <c r="V93" s="16">
        <v>126655111774</v>
      </c>
      <c r="W93" s="16">
        <v>267509486414</v>
      </c>
      <c r="X93" s="30" t="s">
        <v>54</v>
      </c>
      <c r="Y93" s="16">
        <v>0</v>
      </c>
      <c r="Z93" s="11">
        <v>1</v>
      </c>
      <c r="AA93" s="16">
        <v>121505367883</v>
      </c>
      <c r="AB93" s="16">
        <v>305464599543</v>
      </c>
      <c r="AC93" s="16">
        <v>754793280000</v>
      </c>
      <c r="AD93" s="16">
        <v>86035888973</v>
      </c>
      <c r="AE93" s="16">
        <v>113942580162</v>
      </c>
      <c r="AF93" s="16">
        <v>599926821</v>
      </c>
      <c r="AG93" s="16">
        <v>13788289228</v>
      </c>
      <c r="AH93" s="16">
        <v>50805367536</v>
      </c>
      <c r="AI93" s="16">
        <v>2987779139</v>
      </c>
      <c r="AJ93" s="16">
        <v>222056616752</v>
      </c>
      <c r="AK93" s="16">
        <v>83048109834</v>
      </c>
      <c r="AL93" s="29">
        <v>-0.2225</v>
      </c>
      <c r="AM93" s="16">
        <v>68002460519</v>
      </c>
      <c r="AN93" s="16">
        <v>-109254038350</v>
      </c>
      <c r="AO93" s="16">
        <v>4648</v>
      </c>
      <c r="AP93" s="11">
        <v>91</v>
      </c>
      <c r="AQ93" s="16">
        <v>25564017303</v>
      </c>
      <c r="AR93" s="11">
        <v>45</v>
      </c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</row>
    <row r="94" spans="1:58" ht="31" x14ac:dyDescent="0.35">
      <c r="A94" s="11">
        <v>19</v>
      </c>
      <c r="B94" s="11" t="s">
        <v>89</v>
      </c>
      <c r="C94" s="12" t="s">
        <v>90</v>
      </c>
      <c r="D94" s="11">
        <v>2021</v>
      </c>
      <c r="E94" s="11"/>
      <c r="F94" s="42">
        <v>3.4200000000000001E-2</v>
      </c>
      <c r="G94" s="42">
        <v>0</v>
      </c>
      <c r="H94" s="42">
        <v>0.54220000000000002</v>
      </c>
      <c r="I94" s="42">
        <v>8.3000000000000004E-2</v>
      </c>
      <c r="J94" s="16">
        <v>21920000</v>
      </c>
      <c r="K94" s="16">
        <v>159041506887</v>
      </c>
      <c r="L94" s="16">
        <v>159041506887</v>
      </c>
      <c r="M94" s="16">
        <v>354494400407</v>
      </c>
      <c r="N94" s="16">
        <v>4348256070</v>
      </c>
      <c r="O94" s="16">
        <v>6551814467</v>
      </c>
      <c r="P94" s="16">
        <v>5976685422</v>
      </c>
      <c r="Q94" s="16">
        <v>110244347080</v>
      </c>
      <c r="R94" s="16">
        <v>38677587622</v>
      </c>
      <c r="S94" s="16">
        <v>6019794946</v>
      </c>
      <c r="T94" s="16">
        <v>115282113239</v>
      </c>
      <c r="U94" s="16">
        <v>4598053969</v>
      </c>
      <c r="V94" s="16">
        <v>63030872140</v>
      </c>
      <c r="W94" s="16">
        <v>126933530796</v>
      </c>
      <c r="X94" s="30" t="s">
        <v>54</v>
      </c>
      <c r="Y94" s="16">
        <v>0</v>
      </c>
      <c r="Z94" s="11">
        <v>0</v>
      </c>
      <c r="AA94" s="16">
        <v>38622174326</v>
      </c>
      <c r="AB94" s="16">
        <v>301557916283</v>
      </c>
      <c r="AC94" s="16">
        <v>569700800000</v>
      </c>
      <c r="AD94" s="16">
        <v>52936484124</v>
      </c>
      <c r="AE94" s="16">
        <v>66124849645</v>
      </c>
      <c r="AF94" s="16">
        <v>1052876000</v>
      </c>
      <c r="AG94" s="16">
        <v>4304408144</v>
      </c>
      <c r="AH94" s="16">
        <v>81983690505</v>
      </c>
      <c r="AI94" s="16">
        <v>3237370615</v>
      </c>
      <c r="AJ94" s="16">
        <v>191283256901</v>
      </c>
      <c r="AK94" s="16">
        <v>49699113509</v>
      </c>
      <c r="AL94" s="29">
        <v>-0.60389999999999999</v>
      </c>
      <c r="AM94" s="16">
        <v>71427623037</v>
      </c>
      <c r="AN94" s="16">
        <v>-39250934820</v>
      </c>
      <c r="AO94" s="16">
        <v>1621</v>
      </c>
      <c r="AP94" s="11">
        <v>65</v>
      </c>
      <c r="AQ94" s="16">
        <v>21884764280</v>
      </c>
      <c r="AR94" s="11">
        <v>46</v>
      </c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</row>
    <row r="95" spans="1:58" ht="31" x14ac:dyDescent="0.35">
      <c r="A95" s="11">
        <v>19</v>
      </c>
      <c r="B95" s="11" t="s">
        <v>89</v>
      </c>
      <c r="C95" s="12" t="s">
        <v>90</v>
      </c>
      <c r="D95" s="11">
        <v>2022</v>
      </c>
      <c r="E95" s="11"/>
      <c r="F95" s="42">
        <v>3.4000000000000002E-2</v>
      </c>
      <c r="G95" s="42">
        <v>0</v>
      </c>
      <c r="H95" s="42">
        <v>0.59650000000000003</v>
      </c>
      <c r="I95" s="42">
        <v>6.3799999999999996E-2</v>
      </c>
      <c r="J95" s="16">
        <v>21920000</v>
      </c>
      <c r="K95" s="16">
        <v>80579832608</v>
      </c>
      <c r="L95" s="16">
        <v>80579832608</v>
      </c>
      <c r="M95" s="16">
        <v>406852698663</v>
      </c>
      <c r="N95" s="16">
        <v>2742218441</v>
      </c>
      <c r="O95" s="16">
        <v>10101027826</v>
      </c>
      <c r="P95" s="16">
        <v>5800902042</v>
      </c>
      <c r="Q95" s="16">
        <v>54850142530</v>
      </c>
      <c r="R95" s="16">
        <v>18101000108</v>
      </c>
      <c r="S95" s="16">
        <v>10826835634</v>
      </c>
      <c r="T95" s="16">
        <v>56179595678</v>
      </c>
      <c r="U95" s="16">
        <v>2774227773</v>
      </c>
      <c r="V95" s="16">
        <v>26852930309</v>
      </c>
      <c r="W95" s="16">
        <v>74597569278</v>
      </c>
      <c r="X95" s="30" t="s">
        <v>54</v>
      </c>
      <c r="Y95" s="16">
        <v>0</v>
      </c>
      <c r="Z95" s="11">
        <v>1</v>
      </c>
      <c r="AA95" s="16">
        <v>45054734783</v>
      </c>
      <c r="AB95" s="16">
        <v>351262839792</v>
      </c>
      <c r="AC95" s="16">
        <v>434388640000</v>
      </c>
      <c r="AD95" s="16">
        <v>55589858871</v>
      </c>
      <c r="AE95" s="16">
        <v>44673933793</v>
      </c>
      <c r="AF95" s="16">
        <v>21720845265</v>
      </c>
      <c r="AG95" s="16">
        <v>-104617065896</v>
      </c>
      <c r="AH95" s="16">
        <v>21959479762</v>
      </c>
      <c r="AI95" s="16">
        <v>3709634527</v>
      </c>
      <c r="AJ95" s="16">
        <v>211990094059</v>
      </c>
      <c r="AK95" s="16">
        <v>51880224344</v>
      </c>
      <c r="AL95" s="29">
        <v>-0.49330000000000002</v>
      </c>
      <c r="AM95" s="16">
        <v>68548068836</v>
      </c>
      <c r="AN95" s="16">
        <v>-81078640</v>
      </c>
      <c r="AO95" s="16">
        <v>1749</v>
      </c>
      <c r="AP95" s="11">
        <v>65</v>
      </c>
      <c r="AQ95" s="16">
        <v>28634070451</v>
      </c>
      <c r="AR95" s="11">
        <v>47</v>
      </c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</row>
    <row r="96" spans="1:58" ht="31" x14ac:dyDescent="0.35">
      <c r="A96" s="11">
        <v>19</v>
      </c>
      <c r="B96" s="11" t="s">
        <v>89</v>
      </c>
      <c r="C96" s="12" t="s">
        <v>90</v>
      </c>
      <c r="D96" s="11">
        <v>2023</v>
      </c>
      <c r="E96" s="11"/>
      <c r="F96" s="42">
        <v>3.4000000000000002E-2</v>
      </c>
      <c r="G96" s="42">
        <v>0</v>
      </c>
      <c r="H96" s="42">
        <v>0.60019999999999996</v>
      </c>
      <c r="I96" s="42">
        <v>4.7699999999999999E-2</v>
      </c>
      <c r="J96" s="16">
        <v>21920000</v>
      </c>
      <c r="K96" s="16">
        <v>175941033105</v>
      </c>
      <c r="L96" s="16">
        <v>175941033105</v>
      </c>
      <c r="M96" s="16">
        <v>431434399497</v>
      </c>
      <c r="N96" s="16">
        <v>5163446544</v>
      </c>
      <c r="O96" s="16">
        <v>9721846346</v>
      </c>
      <c r="P96" s="16">
        <v>5625531059</v>
      </c>
      <c r="Q96" s="16">
        <v>72514377631</v>
      </c>
      <c r="R96" s="16">
        <v>44961878114</v>
      </c>
      <c r="S96" s="16">
        <v>23859370374</v>
      </c>
      <c r="T96" s="16">
        <v>106153427549</v>
      </c>
      <c r="U96" s="16">
        <v>192190573</v>
      </c>
      <c r="V96" s="16">
        <v>40298544217</v>
      </c>
      <c r="W96" s="16">
        <v>112494849131</v>
      </c>
      <c r="X96" s="30" t="s">
        <v>54</v>
      </c>
      <c r="Y96" s="16">
        <v>0</v>
      </c>
      <c r="Z96" s="11">
        <v>0</v>
      </c>
      <c r="AA96" s="16">
        <v>37271844865</v>
      </c>
      <c r="AB96" s="16">
        <v>374365042453</v>
      </c>
      <c r="AC96" s="16">
        <v>400829120000</v>
      </c>
      <c r="AD96" s="16">
        <v>57069357044</v>
      </c>
      <c r="AE96" s="16">
        <v>45986061321</v>
      </c>
      <c r="AF96" s="16">
        <v>18516187507</v>
      </c>
      <c r="AG96" s="16">
        <v>-26074385559</v>
      </c>
      <c r="AH96" s="16">
        <v>34222387046</v>
      </c>
      <c r="AI96" s="16">
        <v>3903081793</v>
      </c>
      <c r="AJ96" s="16">
        <v>229379470498</v>
      </c>
      <c r="AK96" s="16">
        <v>53166275251</v>
      </c>
      <c r="AL96" s="29">
        <v>1.1834</v>
      </c>
      <c r="AM96" s="16">
        <v>47925456014</v>
      </c>
      <c r="AN96" s="16">
        <v>-10911860765</v>
      </c>
      <c r="AO96" s="16">
        <v>1564</v>
      </c>
      <c r="AP96" s="11">
        <v>75</v>
      </c>
      <c r="AQ96" s="16">
        <v>46125729442</v>
      </c>
      <c r="AR96" s="11">
        <v>48</v>
      </c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</row>
    <row r="97" spans="1:58" ht="31" x14ac:dyDescent="0.35">
      <c r="A97" s="11">
        <v>19</v>
      </c>
      <c r="B97" s="11" t="s">
        <v>89</v>
      </c>
      <c r="C97" s="12" t="s">
        <v>90</v>
      </c>
      <c r="D97" s="11">
        <v>2024</v>
      </c>
      <c r="E97" s="11"/>
      <c r="F97" s="42">
        <v>3.4000000000000002E-2</v>
      </c>
      <c r="G97" s="42">
        <v>0</v>
      </c>
      <c r="H97" s="42">
        <v>0.60019999999999996</v>
      </c>
      <c r="I97" s="42">
        <v>4.9299999999999997E-2</v>
      </c>
      <c r="J97" s="16">
        <v>21920000</v>
      </c>
      <c r="K97" s="16">
        <v>280070334347</v>
      </c>
      <c r="L97" s="16">
        <v>280070334347</v>
      </c>
      <c r="M97" s="16">
        <v>485884969241</v>
      </c>
      <c r="N97" s="16">
        <v>5976873628</v>
      </c>
      <c r="O97" s="16">
        <v>13797479814</v>
      </c>
      <c r="P97" s="16">
        <v>5512242122</v>
      </c>
      <c r="Q97" s="16">
        <v>96943290245</v>
      </c>
      <c r="R97" s="16">
        <v>78761547494</v>
      </c>
      <c r="S97" s="16">
        <v>38611523774</v>
      </c>
      <c r="T97" s="16">
        <v>152112143837</v>
      </c>
      <c r="U97" s="16">
        <v>766513392</v>
      </c>
      <c r="V97" s="16">
        <v>54291699490</v>
      </c>
      <c r="W97" s="16">
        <v>149141375371</v>
      </c>
      <c r="X97" s="30" t="s">
        <v>54</v>
      </c>
      <c r="Y97" s="16">
        <v>0</v>
      </c>
      <c r="Z97" s="11">
        <v>1</v>
      </c>
      <c r="AA97" s="16">
        <v>62607149256</v>
      </c>
      <c r="AB97" s="16">
        <v>420977695264</v>
      </c>
      <c r="AC97" s="16">
        <v>501485760000</v>
      </c>
      <c r="AD97" s="16">
        <v>64907273977</v>
      </c>
      <c r="AE97" s="16">
        <v>97228840884</v>
      </c>
      <c r="AF97" s="16">
        <v>22878704307</v>
      </c>
      <c r="AG97" s="16">
        <v>-20804044271</v>
      </c>
      <c r="AH97" s="16">
        <v>96678014272</v>
      </c>
      <c r="AI97" s="16">
        <v>7258099762</v>
      </c>
      <c r="AJ97" s="16">
        <v>236735767992</v>
      </c>
      <c r="AK97" s="16">
        <v>57649174215</v>
      </c>
      <c r="AL97" s="29">
        <v>0.59179999999999999</v>
      </c>
      <c r="AM97" s="16">
        <v>8428454364</v>
      </c>
      <c r="AN97" s="16">
        <v>-10706077100</v>
      </c>
      <c r="AO97" s="16">
        <v>2628</v>
      </c>
      <c r="AP97" s="11">
        <v>81</v>
      </c>
      <c r="AQ97" s="16">
        <v>49739984201</v>
      </c>
      <c r="AR97" s="11">
        <v>49</v>
      </c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</row>
    <row r="98" spans="1:58" ht="31" x14ac:dyDescent="0.35">
      <c r="A98" s="31">
        <v>20</v>
      </c>
      <c r="B98" s="31" t="s">
        <v>91</v>
      </c>
      <c r="C98" s="32" t="s">
        <v>92</v>
      </c>
      <c r="D98" s="31">
        <v>2020</v>
      </c>
      <c r="E98" s="31"/>
      <c r="F98" s="49">
        <v>0.51139999999999997</v>
      </c>
      <c r="G98" s="49">
        <v>5.1000000000000004E-3</v>
      </c>
      <c r="H98" s="32" t="s">
        <v>54</v>
      </c>
      <c r="I98" s="32">
        <v>0.26240000000000002</v>
      </c>
      <c r="J98" s="32">
        <v>2500000</v>
      </c>
      <c r="K98" s="32">
        <v>111015268591</v>
      </c>
      <c r="L98" s="32">
        <v>111015268591</v>
      </c>
      <c r="M98" s="32">
        <v>195388578657</v>
      </c>
      <c r="N98" s="32">
        <v>0</v>
      </c>
      <c r="O98" s="32">
        <v>10439961338</v>
      </c>
      <c r="P98" s="32">
        <v>515669022</v>
      </c>
      <c r="Q98" s="32">
        <f>62947293913-258810602 -46789318505</f>
        <v>15899164806</v>
      </c>
      <c r="R98" s="32">
        <v>61292565279</v>
      </c>
      <c r="S98" s="32">
        <v>258810602</v>
      </c>
      <c r="T98" s="32">
        <f>60406200-64994455+52507332575</f>
        <v>52502744320</v>
      </c>
      <c r="U98" s="32" t="s">
        <v>54</v>
      </c>
      <c r="V98" s="32">
        <v>7700503597</v>
      </c>
      <c r="W98" s="32">
        <v>62947293913</v>
      </c>
      <c r="X98" s="32" t="s">
        <v>93</v>
      </c>
      <c r="Y98" s="32">
        <v>0</v>
      </c>
      <c r="Z98" s="32">
        <v>0</v>
      </c>
      <c r="AA98" s="32">
        <v>56146293239</v>
      </c>
      <c r="AB98" s="32">
        <v>165819432371</v>
      </c>
      <c r="AC98" s="32">
        <v>370580000000</v>
      </c>
      <c r="AD98" s="32">
        <v>29569146286</v>
      </c>
      <c r="AE98" s="32">
        <v>29431375789</v>
      </c>
      <c r="AF98" s="32">
        <v>4233929383</v>
      </c>
      <c r="AG98" s="32">
        <v>174814081074</v>
      </c>
      <c r="AH98" s="32">
        <v>98990357151</v>
      </c>
      <c r="AI98" s="32">
        <v>4388163539</v>
      </c>
      <c r="AJ98" s="32">
        <v>167135621484</v>
      </c>
      <c r="AK98" s="32">
        <v>25180982747</v>
      </c>
      <c r="AL98" s="49">
        <v>-0.1688530989</v>
      </c>
      <c r="AM98" s="32">
        <v>60406200</v>
      </c>
      <c r="AN98" s="32">
        <v>-129000000000</v>
      </c>
      <c r="AO98" s="32">
        <v>18174</v>
      </c>
      <c r="AP98" s="32">
        <v>185</v>
      </c>
      <c r="AQ98" s="32">
        <v>26530790314</v>
      </c>
      <c r="AR98" s="32">
        <v>14</v>
      </c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</row>
    <row r="99" spans="1:58" ht="31" x14ac:dyDescent="0.35">
      <c r="A99" s="31">
        <v>20</v>
      </c>
      <c r="B99" s="31" t="s">
        <v>91</v>
      </c>
      <c r="C99" s="32" t="s">
        <v>92</v>
      </c>
      <c r="D99" s="31">
        <v>2021</v>
      </c>
      <c r="E99" s="31"/>
      <c r="F99" s="49">
        <v>0.1012</v>
      </c>
      <c r="G99" s="49">
        <v>5.1000000000000004E-3</v>
      </c>
      <c r="H99" s="32" t="s">
        <v>54</v>
      </c>
      <c r="I99" s="32">
        <v>0.27829999999999999</v>
      </c>
      <c r="J99" s="32">
        <v>2500000</v>
      </c>
      <c r="K99" s="32">
        <v>41072727</v>
      </c>
      <c r="L99" s="32">
        <v>54739151576</v>
      </c>
      <c r="M99" s="32">
        <v>185753796458</v>
      </c>
      <c r="N99" s="32">
        <v>0</v>
      </c>
      <c r="O99" s="32">
        <v>8725330879</v>
      </c>
      <c r="P99" s="32">
        <v>328511998</v>
      </c>
      <c r="Q99" s="32">
        <f>49344053813-156603180-36182994900</f>
        <v>13004455733</v>
      </c>
      <c r="R99" s="32">
        <v>11096866793</v>
      </c>
      <c r="S99" s="32">
        <v>156603180</v>
      </c>
      <c r="T99" s="32">
        <f>28002000-60406200+40618722934</f>
        <v>40586318734</v>
      </c>
      <c r="U99" s="32" t="s">
        <v>54</v>
      </c>
      <c r="V99" s="32">
        <v>5560307181</v>
      </c>
      <c r="W99" s="32">
        <v>49344053813</v>
      </c>
      <c r="X99" s="32" t="s">
        <v>54</v>
      </c>
      <c r="Y99" s="32">
        <v>0</v>
      </c>
      <c r="Z99" s="32">
        <v>0</v>
      </c>
      <c r="AA99" s="32">
        <v>11663529548</v>
      </c>
      <c r="AB99" s="32">
        <v>166526961919</v>
      </c>
      <c r="AC99" s="32">
        <v>329707500000</v>
      </c>
      <c r="AD99" s="32">
        <v>19226834539</v>
      </c>
      <c r="AE99" s="32">
        <v>-5032868205</v>
      </c>
      <c r="AF99" s="32" t="s">
        <v>54</v>
      </c>
      <c r="AG99" s="32">
        <v>46314052850</v>
      </c>
      <c r="AH99" s="32">
        <v>135271541796</v>
      </c>
      <c r="AI99" s="32">
        <v>4199288539</v>
      </c>
      <c r="AJ99" s="32">
        <v>158661112561</v>
      </c>
      <c r="AK99" s="32">
        <v>15027546000</v>
      </c>
      <c r="AL99" s="49">
        <v>0.5071</v>
      </c>
      <c r="AM99" s="32">
        <v>28002000</v>
      </c>
      <c r="AN99" s="32">
        <v>-5000000000</v>
      </c>
      <c r="AO99" s="32">
        <v>2283</v>
      </c>
      <c r="AP99" s="32">
        <v>166</v>
      </c>
      <c r="AQ99" s="32">
        <v>25873448899</v>
      </c>
      <c r="AR99" s="32">
        <v>15</v>
      </c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</row>
    <row r="100" spans="1:58" ht="31" x14ac:dyDescent="0.35">
      <c r="A100" s="31">
        <v>20</v>
      </c>
      <c r="B100" s="31" t="s">
        <v>91</v>
      </c>
      <c r="C100" s="32" t="s">
        <v>92</v>
      </c>
      <c r="D100" s="31">
        <v>2022</v>
      </c>
      <c r="E100" s="31"/>
      <c r="F100" s="49">
        <v>0.61119999999999997</v>
      </c>
      <c r="G100" s="49">
        <v>5.1000000000000004E-3</v>
      </c>
      <c r="H100" s="32" t="s">
        <v>54</v>
      </c>
      <c r="I100" s="32">
        <v>0.2802</v>
      </c>
      <c r="J100" s="32">
        <v>2500000</v>
      </c>
      <c r="K100" s="32">
        <v>94055510414</v>
      </c>
      <c r="L100" s="32">
        <v>94055510414</v>
      </c>
      <c r="M100" s="32">
        <v>217600588007</v>
      </c>
      <c r="N100" s="32">
        <v>0</v>
      </c>
      <c r="O100" s="32">
        <v>13416992843</v>
      </c>
      <c r="P100" s="32">
        <v>1350002173</v>
      </c>
      <c r="Q100" s="32">
        <f>57502383467-162538764-41336001272</f>
        <v>16003843431</v>
      </c>
      <c r="R100" s="32">
        <v>43928640410</v>
      </c>
      <c r="S100" s="32">
        <v>162538764</v>
      </c>
      <c r="T100" s="32">
        <f>15612000-28002000+44085390624</f>
        <v>44073000624</v>
      </c>
      <c r="U100" s="32" t="s">
        <v>54</v>
      </c>
      <c r="V100" s="32">
        <v>7334527070</v>
      </c>
      <c r="W100" s="32">
        <v>57502383467</v>
      </c>
      <c r="X100" s="32" t="s">
        <v>54</v>
      </c>
      <c r="Y100" s="32">
        <v>0</v>
      </c>
      <c r="Z100" s="32">
        <v>0</v>
      </c>
      <c r="AA100" s="32">
        <v>38108392450</v>
      </c>
      <c r="AB100" s="32">
        <v>190910271095</v>
      </c>
      <c r="AC100" s="32">
        <v>302952500000</v>
      </c>
      <c r="AD100" s="32">
        <v>26690316912</v>
      </c>
      <c r="AE100" s="32">
        <v>34858846210</v>
      </c>
      <c r="AF100" s="32">
        <v>3508937913</v>
      </c>
      <c r="AG100" s="32">
        <v>-152914434931</v>
      </c>
      <c r="AH100" s="32">
        <v>12215953075</v>
      </c>
      <c r="AI100" s="32">
        <v>3969130874</v>
      </c>
      <c r="AJ100" s="32">
        <v>192097235663</v>
      </c>
      <c r="AK100" s="32">
        <v>22721186038</v>
      </c>
      <c r="AL100" s="49">
        <v>2.2889699999999999</v>
      </c>
      <c r="AM100" s="32">
        <v>15612000</v>
      </c>
      <c r="AN100" s="32">
        <v>-5000000000</v>
      </c>
      <c r="AO100" s="32">
        <v>11753</v>
      </c>
      <c r="AP100" s="32">
        <v>163</v>
      </c>
      <c r="AQ100" s="32">
        <v>23152277128</v>
      </c>
      <c r="AR100" s="32">
        <v>16</v>
      </c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</row>
    <row r="101" spans="1:58" ht="31" x14ac:dyDescent="0.35">
      <c r="A101" s="31">
        <v>20</v>
      </c>
      <c r="B101" s="31" t="s">
        <v>91</v>
      </c>
      <c r="C101" s="32" t="s">
        <v>92</v>
      </c>
      <c r="D101" s="31">
        <v>2023</v>
      </c>
      <c r="E101" s="31"/>
      <c r="F101" s="49">
        <v>0.61119999999999997</v>
      </c>
      <c r="G101" s="49">
        <v>5.1000000000000004E-3</v>
      </c>
      <c r="H101" s="32" t="s">
        <v>54</v>
      </c>
      <c r="I101" s="43">
        <f>0.2847</f>
        <v>0.28470000000000001</v>
      </c>
      <c r="J101" s="32">
        <v>2500000</v>
      </c>
      <c r="K101" s="32">
        <v>140258530825</v>
      </c>
      <c r="L101" s="32">
        <v>140258530825</v>
      </c>
      <c r="M101" s="32">
        <v>284204982878</v>
      </c>
      <c r="N101" s="32">
        <v>0</v>
      </c>
      <c r="O101" s="32">
        <v>18674989124</v>
      </c>
      <c r="P101" s="32">
        <v>1219040178</v>
      </c>
      <c r="Q101" s="32">
        <f>73773971228-234907472-52904559825</f>
        <v>20634503931</v>
      </c>
      <c r="R101" s="32">
        <v>78801653681</v>
      </c>
      <c r="S101" s="32">
        <v>234907472</v>
      </c>
      <c r="T101" s="32">
        <f>99216000 -15612000+55098982104</f>
        <v>55182586104</v>
      </c>
      <c r="U101" s="32" t="s">
        <v>54</v>
      </c>
      <c r="V101" s="32">
        <v>10303931846</v>
      </c>
      <c r="W101" s="32">
        <v>73773971228</v>
      </c>
      <c r="X101" s="32" t="s">
        <v>54</v>
      </c>
      <c r="Y101" s="32">
        <v>0</v>
      </c>
      <c r="Z101" s="32">
        <v>0</v>
      </c>
      <c r="AA101" s="32">
        <v>66481743176</v>
      </c>
      <c r="AB101" s="32">
        <v>202912675278</v>
      </c>
      <c r="AC101" s="32">
        <v>339477500000</v>
      </c>
      <c r="AD101" s="32">
        <v>81292307600</v>
      </c>
      <c r="AE101" s="32">
        <v>61003278264</v>
      </c>
      <c r="AF101" s="32">
        <v>7340478421</v>
      </c>
      <c r="AG101" s="32">
        <v>-24083696694</v>
      </c>
      <c r="AH101" s="32">
        <v>44135534645</v>
      </c>
      <c r="AI101" s="32">
        <v>4239855874</v>
      </c>
      <c r="AJ101" s="32">
        <v>255661059251</v>
      </c>
      <c r="AK101" s="32">
        <v>77052451726</v>
      </c>
      <c r="AL101" s="32">
        <v>0.49</v>
      </c>
      <c r="AM101" s="32">
        <v>99216000</v>
      </c>
      <c r="AN101" s="32">
        <v>-5000000000</v>
      </c>
      <c r="AO101" s="32">
        <v>20705</v>
      </c>
      <c r="AP101" s="32">
        <v>161</v>
      </c>
      <c r="AQ101" s="32">
        <v>25424039484</v>
      </c>
      <c r="AR101" s="32">
        <v>17</v>
      </c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</row>
    <row r="102" spans="1:58" ht="31" x14ac:dyDescent="0.35">
      <c r="A102" s="31">
        <v>20</v>
      </c>
      <c r="B102" s="31" t="s">
        <v>91</v>
      </c>
      <c r="C102" s="32" t="s">
        <v>92</v>
      </c>
      <c r="D102" s="31">
        <v>2024</v>
      </c>
      <c r="E102" s="31"/>
      <c r="F102" s="49">
        <v>0.1012</v>
      </c>
      <c r="G102" s="49">
        <v>5.1000000000000004E-3</v>
      </c>
      <c r="H102" s="32" t="s">
        <v>54</v>
      </c>
      <c r="I102" s="32">
        <v>0.28589999999999999</v>
      </c>
      <c r="J102" s="32">
        <v>2500000</v>
      </c>
      <c r="K102" s="32">
        <v>158282285993</v>
      </c>
      <c r="L102" s="32">
        <v>158282285993</v>
      </c>
      <c r="M102" s="32">
        <v>307619509302</v>
      </c>
      <c r="N102" s="32">
        <v>0</v>
      </c>
      <c r="O102" s="32">
        <v>17053901578</v>
      </c>
      <c r="P102" s="32">
        <v>3610898880</v>
      </c>
      <c r="Q102" s="32">
        <f>79949385224-317961108-57586648330</f>
        <v>22044775786</v>
      </c>
      <c r="R102" s="32">
        <v>88959225725</v>
      </c>
      <c r="S102" s="32">
        <v>317961108</v>
      </c>
      <c r="T102" s="32">
        <f>97194000-99216000+62895483646</f>
        <v>62893461646</v>
      </c>
      <c r="U102" s="32" t="s">
        <v>54</v>
      </c>
      <c r="V102" s="32">
        <v>10622602470</v>
      </c>
      <c r="W102" s="32">
        <v>79949385224</v>
      </c>
      <c r="X102" s="32" t="s">
        <v>54</v>
      </c>
      <c r="Y102" s="32">
        <v>0</v>
      </c>
      <c r="Z102" s="32">
        <v>0</v>
      </c>
      <c r="AA102" s="32">
        <v>75470841165</v>
      </c>
      <c r="AB102" s="32">
        <v>265593516443</v>
      </c>
      <c r="AC102" s="32">
        <v>531352500000</v>
      </c>
      <c r="AD102" s="32">
        <v>42025992859</v>
      </c>
      <c r="AE102" s="32">
        <v>57811043013</v>
      </c>
      <c r="AF102" s="32">
        <v>11082268382</v>
      </c>
      <c r="AG102" s="32">
        <v>69501414257</v>
      </c>
      <c r="AH102" s="32">
        <v>131447991915</v>
      </c>
      <c r="AI102" s="32">
        <v>4066671527</v>
      </c>
      <c r="AJ102" s="32">
        <v>273541568116</v>
      </c>
      <c r="AK102" s="32">
        <v>37959321332</v>
      </c>
      <c r="AL102" s="32">
        <v>0.13</v>
      </c>
      <c r="AM102" s="32">
        <v>97194000</v>
      </c>
      <c r="AN102" s="32">
        <v>-40000000000</v>
      </c>
      <c r="AO102" s="32">
        <v>25072</v>
      </c>
      <c r="AP102" s="32">
        <v>162</v>
      </c>
      <c r="AQ102" s="32">
        <v>29456401929</v>
      </c>
      <c r="AR102" s="32">
        <v>18</v>
      </c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</row>
    <row r="103" spans="1:58" ht="15.5" x14ac:dyDescent="0.3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5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</row>
    <row r="104" spans="1:58" ht="15.5" x14ac:dyDescent="0.3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</row>
    <row r="105" spans="1:58" ht="15.5" x14ac:dyDescent="0.3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</row>
    <row r="106" spans="1:58" ht="15.5" x14ac:dyDescent="0.35">
      <c r="A106" s="30"/>
      <c r="B106" s="30"/>
      <c r="C106" s="30"/>
      <c r="D106" s="30"/>
      <c r="E106" s="30"/>
      <c r="F106" s="42"/>
      <c r="G106" s="42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</row>
    <row r="107" spans="1:58" ht="15.5" x14ac:dyDescent="0.35">
      <c r="A107" s="30"/>
      <c r="B107" s="30"/>
      <c r="C107" s="30"/>
      <c r="D107" s="30"/>
      <c r="E107" s="30"/>
      <c r="F107" s="42"/>
      <c r="G107" s="42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</row>
    <row r="108" spans="1:58" ht="15.5" x14ac:dyDescent="0.35">
      <c r="A108" s="30"/>
      <c r="B108" s="30"/>
      <c r="C108" s="30"/>
      <c r="D108" s="30"/>
      <c r="E108" s="30"/>
      <c r="F108" s="42"/>
      <c r="G108" s="42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</row>
    <row r="109" spans="1:58" ht="15.5" x14ac:dyDescent="0.35">
      <c r="A109" s="30"/>
      <c r="B109" s="30"/>
      <c r="C109" s="30"/>
      <c r="D109" s="30"/>
      <c r="E109" s="30"/>
      <c r="F109" s="42"/>
      <c r="G109" s="42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</row>
    <row r="110" spans="1:58" ht="15.5" x14ac:dyDescent="0.35">
      <c r="A110" s="30"/>
      <c r="B110" s="30"/>
      <c r="C110" s="30"/>
      <c r="D110" s="30"/>
      <c r="E110" s="30"/>
      <c r="F110" s="42"/>
      <c r="G110" s="42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</row>
    <row r="111" spans="1:58" ht="15.5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</row>
    <row r="112" spans="1:58" ht="15.5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</row>
    <row r="113" spans="1:58" ht="15.5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</row>
    <row r="114" spans="1:58" ht="15.5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</row>
    <row r="115" spans="1:58" ht="15.5" x14ac:dyDescent="0.3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</row>
    <row r="116" spans="1:58" ht="15.5" x14ac:dyDescent="0.3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</row>
    <row r="117" spans="1:58" ht="15.5" x14ac:dyDescent="0.3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</row>
    <row r="118" spans="1:58" ht="15.5" x14ac:dyDescent="0.3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</row>
    <row r="119" spans="1:58" ht="15.5" x14ac:dyDescent="0.3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</row>
    <row r="120" spans="1:58" ht="15.5" x14ac:dyDescent="0.3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5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</row>
    <row r="121" spans="1:58" ht="15.5" x14ac:dyDescent="0.3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5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</row>
    <row r="122" spans="1:58" ht="15.5" x14ac:dyDescent="0.3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5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</row>
    <row r="123" spans="1:58" ht="15.5" x14ac:dyDescent="0.3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5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</row>
    <row r="124" spans="1:58" ht="15.5" x14ac:dyDescent="0.3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5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</row>
    <row r="125" spans="1:58" ht="15.5" x14ac:dyDescent="0.3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5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</row>
    <row r="126" spans="1:58" ht="15.5" x14ac:dyDescent="0.3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5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</row>
    <row r="127" spans="1:58" ht="15.5" x14ac:dyDescent="0.3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5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</row>
    <row r="128" spans="1:58" ht="15.5" x14ac:dyDescent="0.3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5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</row>
    <row r="129" spans="1:58" ht="15.5" x14ac:dyDescent="0.3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5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</row>
    <row r="130" spans="1:58" ht="15.5" x14ac:dyDescent="0.3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5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</row>
    <row r="131" spans="1:58" ht="15.5" x14ac:dyDescent="0.3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5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</row>
    <row r="132" spans="1:58" ht="15.5" x14ac:dyDescent="0.3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5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</row>
    <row r="133" spans="1:58" ht="15.5" x14ac:dyDescent="0.3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5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</row>
    <row r="134" spans="1:58" ht="15.5" x14ac:dyDescent="0.3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5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</row>
    <row r="135" spans="1:58" ht="15.5" x14ac:dyDescent="0.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5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</row>
    <row r="136" spans="1:58" ht="15.5" x14ac:dyDescent="0.3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5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</row>
    <row r="137" spans="1:58" ht="15.5" x14ac:dyDescent="0.3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5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</row>
    <row r="138" spans="1:58" ht="15.5" x14ac:dyDescent="0.3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5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</row>
    <row r="139" spans="1:58" ht="15.5" x14ac:dyDescent="0.3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5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</row>
    <row r="140" spans="1:58" ht="15.5" x14ac:dyDescent="0.3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5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</row>
    <row r="141" spans="1:58" ht="15.5" x14ac:dyDescent="0.3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5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</row>
    <row r="142" spans="1:58" ht="15.5" x14ac:dyDescent="0.3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5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</row>
    <row r="143" spans="1:58" ht="15.5" x14ac:dyDescent="0.3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5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</row>
    <row r="144" spans="1:58" ht="15.5" x14ac:dyDescent="0.3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5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</row>
    <row r="145" spans="1:58" ht="15.5" x14ac:dyDescent="0.3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5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</row>
    <row r="146" spans="1:58" ht="15.5" x14ac:dyDescent="0.3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5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</row>
    <row r="147" spans="1:58" ht="15.5" x14ac:dyDescent="0.3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5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</row>
    <row r="148" spans="1:58" ht="15.5" x14ac:dyDescent="0.3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5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</row>
    <row r="149" spans="1:58" ht="15.5" x14ac:dyDescent="0.3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5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</row>
    <row r="150" spans="1:58" ht="15.5" x14ac:dyDescent="0.3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5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</row>
    <row r="151" spans="1:58" ht="15.5" x14ac:dyDescent="0.3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5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</row>
    <row r="152" spans="1:58" ht="15.5" x14ac:dyDescent="0.3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5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</row>
    <row r="153" spans="1:58" ht="15.5" x14ac:dyDescent="0.3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5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</row>
    <row r="154" spans="1:58" ht="15.5" x14ac:dyDescent="0.3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5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</row>
    <row r="155" spans="1:58" ht="15.5" x14ac:dyDescent="0.3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5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</row>
    <row r="156" spans="1:58" ht="15.5" x14ac:dyDescent="0.3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5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</row>
    <row r="157" spans="1:58" ht="15.5" x14ac:dyDescent="0.3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5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</row>
    <row r="158" spans="1:58" ht="15.5" x14ac:dyDescent="0.3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5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</row>
    <row r="159" spans="1:58" ht="15.5" x14ac:dyDescent="0.3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5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</row>
    <row r="160" spans="1:58" ht="15.5" x14ac:dyDescent="0.3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5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</row>
    <row r="161" spans="1:58" ht="15.5" x14ac:dyDescent="0.3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5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</row>
    <row r="162" spans="1:58" ht="15.5" x14ac:dyDescent="0.3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5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</row>
    <row r="163" spans="1:58" ht="15.5" x14ac:dyDescent="0.3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5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</row>
    <row r="164" spans="1:58" ht="15.5" x14ac:dyDescent="0.3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5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</row>
    <row r="165" spans="1:58" ht="15.5" x14ac:dyDescent="0.3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5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</row>
    <row r="166" spans="1:58" ht="15.5" x14ac:dyDescent="0.3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5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</row>
    <row r="167" spans="1:58" ht="15.5" x14ac:dyDescent="0.3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5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</row>
    <row r="168" spans="1:58" ht="15.5" x14ac:dyDescent="0.3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5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</row>
    <row r="169" spans="1:58" ht="15.5" x14ac:dyDescent="0.3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5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</row>
    <row r="170" spans="1:58" ht="15.5" x14ac:dyDescent="0.3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5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</row>
    <row r="171" spans="1:58" ht="15.5" x14ac:dyDescent="0.3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5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</row>
    <row r="172" spans="1:58" ht="15.5" x14ac:dyDescent="0.3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5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</row>
    <row r="173" spans="1:58" ht="15.5" x14ac:dyDescent="0.3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5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</row>
    <row r="174" spans="1:58" ht="15.5" x14ac:dyDescent="0.3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5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</row>
    <row r="175" spans="1:58" ht="15.5" x14ac:dyDescent="0.3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5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</row>
    <row r="176" spans="1:58" ht="15.5" x14ac:dyDescent="0.3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5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</row>
    <row r="177" spans="1:58" ht="15.5" x14ac:dyDescent="0.3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5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</row>
    <row r="178" spans="1:58" ht="15.5" x14ac:dyDescent="0.3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5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</row>
    <row r="179" spans="1:58" ht="15.5" x14ac:dyDescent="0.3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5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</row>
    <row r="180" spans="1:58" ht="15.5" x14ac:dyDescent="0.3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5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</row>
    <row r="181" spans="1:58" ht="15.5" x14ac:dyDescent="0.3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5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</row>
    <row r="182" spans="1:58" ht="15.5" x14ac:dyDescent="0.3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5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</row>
    <row r="183" spans="1:58" ht="15.5" x14ac:dyDescent="0.3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5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</row>
    <row r="184" spans="1:58" ht="15.5" x14ac:dyDescent="0.3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5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</row>
    <row r="185" spans="1:58" ht="15.5" x14ac:dyDescent="0.3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5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</row>
    <row r="186" spans="1:58" ht="15.5" x14ac:dyDescent="0.3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5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</row>
    <row r="187" spans="1:58" ht="15.5" x14ac:dyDescent="0.3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5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</row>
    <row r="188" spans="1:58" ht="15.5" x14ac:dyDescent="0.3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5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</row>
    <row r="189" spans="1:58" ht="15.5" x14ac:dyDescent="0.3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5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</row>
    <row r="190" spans="1:58" ht="15.5" x14ac:dyDescent="0.3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5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</row>
    <row r="191" spans="1:58" ht="15.5" x14ac:dyDescent="0.3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5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</row>
    <row r="192" spans="1:58" ht="15.5" x14ac:dyDescent="0.3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5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</row>
    <row r="193" spans="1:58" ht="15.5" x14ac:dyDescent="0.3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5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</row>
    <row r="194" spans="1:58" ht="15.5" x14ac:dyDescent="0.3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5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</row>
    <row r="195" spans="1:58" ht="15.5" x14ac:dyDescent="0.3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5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</row>
    <row r="196" spans="1:58" ht="15.5" x14ac:dyDescent="0.3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5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</row>
    <row r="197" spans="1:58" ht="15.5" x14ac:dyDescent="0.3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5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</row>
    <row r="198" spans="1:58" ht="15.5" x14ac:dyDescent="0.3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5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</row>
    <row r="199" spans="1:58" ht="15.5" x14ac:dyDescent="0.3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5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</row>
    <row r="200" spans="1:58" ht="15.5" x14ac:dyDescent="0.3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5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</row>
    <row r="201" spans="1:58" ht="15.5" x14ac:dyDescent="0.3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5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</row>
    <row r="202" spans="1:58" ht="15.5" x14ac:dyDescent="0.3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5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</row>
    <row r="203" spans="1:58" ht="15.5" x14ac:dyDescent="0.3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5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</row>
    <row r="204" spans="1:58" ht="15.5" x14ac:dyDescent="0.3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5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</row>
    <row r="205" spans="1:58" ht="15.5" x14ac:dyDescent="0.3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5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</row>
    <row r="206" spans="1:58" ht="15.5" x14ac:dyDescent="0.3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5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</row>
    <row r="207" spans="1:58" ht="15.5" x14ac:dyDescent="0.3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5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</row>
    <row r="208" spans="1:58" ht="15.5" x14ac:dyDescent="0.3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5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</row>
    <row r="209" spans="1:58" ht="15.5" x14ac:dyDescent="0.3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5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</row>
    <row r="210" spans="1:58" ht="15.5" x14ac:dyDescent="0.3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5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</row>
    <row r="211" spans="1:58" ht="15.5" x14ac:dyDescent="0.3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5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</row>
    <row r="212" spans="1:58" ht="15.5" x14ac:dyDescent="0.3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5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</row>
    <row r="213" spans="1:58" ht="15.5" x14ac:dyDescent="0.3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5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</row>
    <row r="214" spans="1:58" ht="15.5" x14ac:dyDescent="0.3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5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</row>
    <row r="215" spans="1:58" ht="15.5" x14ac:dyDescent="0.3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5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</row>
    <row r="216" spans="1:58" ht="15.5" x14ac:dyDescent="0.3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5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</row>
    <row r="217" spans="1:58" ht="15.5" x14ac:dyDescent="0.3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5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</row>
    <row r="218" spans="1:58" ht="15.5" x14ac:dyDescent="0.3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5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</row>
    <row r="219" spans="1:58" ht="15.5" x14ac:dyDescent="0.3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5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</row>
    <row r="220" spans="1:58" ht="15.5" x14ac:dyDescent="0.3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5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</row>
    <row r="221" spans="1:58" ht="15.5" x14ac:dyDescent="0.3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5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</row>
    <row r="222" spans="1:58" ht="15.5" x14ac:dyDescent="0.3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5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</row>
    <row r="223" spans="1:58" ht="15.5" x14ac:dyDescent="0.3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5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</row>
    <row r="224" spans="1:58" ht="15.5" x14ac:dyDescent="0.3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5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</row>
    <row r="225" spans="1:58" ht="15.5" x14ac:dyDescent="0.3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5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</row>
    <row r="226" spans="1:58" ht="15.5" x14ac:dyDescent="0.3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5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</row>
    <row r="227" spans="1:58" ht="15.5" x14ac:dyDescent="0.3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5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</row>
    <row r="228" spans="1:58" ht="15.5" x14ac:dyDescent="0.3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5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</row>
    <row r="229" spans="1:58" ht="15.5" x14ac:dyDescent="0.3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5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</row>
    <row r="230" spans="1:58" ht="15.5" x14ac:dyDescent="0.3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5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</row>
    <row r="231" spans="1:58" ht="15.5" x14ac:dyDescent="0.3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5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</row>
    <row r="232" spans="1:58" ht="15.5" x14ac:dyDescent="0.3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5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</row>
    <row r="233" spans="1:58" ht="15.5" x14ac:dyDescent="0.3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5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</row>
    <row r="234" spans="1:58" ht="15.5" x14ac:dyDescent="0.3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5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</row>
    <row r="235" spans="1:58" ht="15.5" x14ac:dyDescent="0.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5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</row>
    <row r="236" spans="1:58" ht="15.5" x14ac:dyDescent="0.3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5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</row>
    <row r="237" spans="1:58" ht="15.5" x14ac:dyDescent="0.3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5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</row>
    <row r="238" spans="1:58" ht="15.5" x14ac:dyDescent="0.3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5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</row>
    <row r="239" spans="1:58" ht="15.5" x14ac:dyDescent="0.3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5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</row>
    <row r="240" spans="1:58" ht="15.5" x14ac:dyDescent="0.3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5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</row>
    <row r="241" spans="1:58" ht="15.5" x14ac:dyDescent="0.3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5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</row>
    <row r="242" spans="1:58" ht="15.5" x14ac:dyDescent="0.3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5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</row>
    <row r="243" spans="1:58" ht="15.5" x14ac:dyDescent="0.3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5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</row>
    <row r="244" spans="1:58" ht="15.5" x14ac:dyDescent="0.3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5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</row>
    <row r="245" spans="1:58" ht="15.5" x14ac:dyDescent="0.3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5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</row>
    <row r="246" spans="1:58" ht="15.5" x14ac:dyDescent="0.3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5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</row>
    <row r="247" spans="1:58" ht="15.5" x14ac:dyDescent="0.3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5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</row>
    <row r="248" spans="1:58" ht="15.5" x14ac:dyDescent="0.3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5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</row>
    <row r="249" spans="1:58" ht="15.5" x14ac:dyDescent="0.3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5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</row>
    <row r="250" spans="1:58" ht="15.5" x14ac:dyDescent="0.3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5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</row>
    <row r="251" spans="1:58" ht="15.5" x14ac:dyDescent="0.3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5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</row>
    <row r="252" spans="1:58" ht="15.5" x14ac:dyDescent="0.3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5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</row>
    <row r="253" spans="1:58" ht="15.5" x14ac:dyDescent="0.3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5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</row>
    <row r="254" spans="1:58" ht="15.5" x14ac:dyDescent="0.3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5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</row>
    <row r="255" spans="1:58" ht="15.5" x14ac:dyDescent="0.3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5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</row>
    <row r="256" spans="1:58" ht="15.5" x14ac:dyDescent="0.3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5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</row>
    <row r="257" spans="1:58" ht="15.5" x14ac:dyDescent="0.3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5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</row>
    <row r="258" spans="1:58" ht="15.5" x14ac:dyDescent="0.3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5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</row>
    <row r="259" spans="1:58" ht="15.5" x14ac:dyDescent="0.3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5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</row>
    <row r="260" spans="1:58" ht="15.5" x14ac:dyDescent="0.3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5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</row>
    <row r="261" spans="1:58" ht="15.5" x14ac:dyDescent="0.3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5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</row>
    <row r="262" spans="1:58" ht="15.5" x14ac:dyDescent="0.3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5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</row>
    <row r="263" spans="1:58" ht="15.5" x14ac:dyDescent="0.3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5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</row>
    <row r="264" spans="1:58" ht="15.5" x14ac:dyDescent="0.3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5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</row>
    <row r="265" spans="1:58" ht="15.5" x14ac:dyDescent="0.3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5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</row>
    <row r="266" spans="1:58" ht="15.5" x14ac:dyDescent="0.3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5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</row>
    <row r="267" spans="1:58" ht="15.5" x14ac:dyDescent="0.3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5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</row>
    <row r="268" spans="1:58" ht="15.5" x14ac:dyDescent="0.3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5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</row>
    <row r="269" spans="1:58" ht="15.5" x14ac:dyDescent="0.3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5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</row>
    <row r="270" spans="1:58" ht="15.5" x14ac:dyDescent="0.3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5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</row>
    <row r="271" spans="1:58" ht="15.5" x14ac:dyDescent="0.3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5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</row>
    <row r="272" spans="1:58" ht="15.5" x14ac:dyDescent="0.3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5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</row>
    <row r="273" spans="1:58" ht="15.5" x14ac:dyDescent="0.3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5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</row>
    <row r="274" spans="1:58" ht="15.5" x14ac:dyDescent="0.3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5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</row>
    <row r="275" spans="1:58" ht="15.5" x14ac:dyDescent="0.3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5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</row>
    <row r="276" spans="1:58" ht="15.5" x14ac:dyDescent="0.3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5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</row>
    <row r="277" spans="1:58" ht="15.5" x14ac:dyDescent="0.3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5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</row>
    <row r="278" spans="1:58" ht="15.5" x14ac:dyDescent="0.3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5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</row>
    <row r="279" spans="1:58" ht="15.5" x14ac:dyDescent="0.3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5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</row>
    <row r="280" spans="1:58" ht="15.5" x14ac:dyDescent="0.3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5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</row>
    <row r="281" spans="1:58" ht="15.5" x14ac:dyDescent="0.3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5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</row>
    <row r="282" spans="1:58" ht="15.5" x14ac:dyDescent="0.3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5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</row>
    <row r="283" spans="1:58" ht="15.5" x14ac:dyDescent="0.3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5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</row>
    <row r="284" spans="1:58" ht="15.5" x14ac:dyDescent="0.3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5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</row>
    <row r="285" spans="1:58" ht="15.5" x14ac:dyDescent="0.3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5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</row>
    <row r="286" spans="1:58" ht="15.5" x14ac:dyDescent="0.3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5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</row>
    <row r="287" spans="1:58" ht="15.5" x14ac:dyDescent="0.3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5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</row>
    <row r="288" spans="1:58" ht="15.5" x14ac:dyDescent="0.3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5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</row>
    <row r="289" spans="1:58" ht="15.5" x14ac:dyDescent="0.3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5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</row>
    <row r="290" spans="1:58" ht="15.5" x14ac:dyDescent="0.3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5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</row>
    <row r="291" spans="1:58" ht="15.5" x14ac:dyDescent="0.3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5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</row>
    <row r="292" spans="1:58" ht="15.5" x14ac:dyDescent="0.3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5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</row>
    <row r="293" spans="1:58" ht="15.5" x14ac:dyDescent="0.3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5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</row>
    <row r="294" spans="1:58" ht="15.5" x14ac:dyDescent="0.3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5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</row>
    <row r="295" spans="1:58" ht="15.5" x14ac:dyDescent="0.3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5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</row>
    <row r="296" spans="1:58" ht="15.5" x14ac:dyDescent="0.3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5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</row>
    <row r="297" spans="1:58" ht="15.5" x14ac:dyDescent="0.3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5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</row>
    <row r="298" spans="1:58" ht="15.5" x14ac:dyDescent="0.3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5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</row>
    <row r="299" spans="1:58" ht="15.5" x14ac:dyDescent="0.3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5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</row>
    <row r="300" spans="1:58" ht="15.5" x14ac:dyDescent="0.3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5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</row>
    <row r="301" spans="1:58" ht="15.5" x14ac:dyDescent="0.3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5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</row>
    <row r="302" spans="1:58" ht="15.5" x14ac:dyDescent="0.3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5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</row>
    <row r="303" spans="1:58" ht="15.5" x14ac:dyDescent="0.3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5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</row>
    <row r="304" spans="1:58" ht="15.5" x14ac:dyDescent="0.3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5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</row>
    <row r="305" spans="1:58" ht="15.5" x14ac:dyDescent="0.3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5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</row>
    <row r="306" spans="1:58" ht="15.5" x14ac:dyDescent="0.3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5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</row>
    <row r="307" spans="1:58" ht="15.5" x14ac:dyDescent="0.3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5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</row>
    <row r="308" spans="1:58" ht="15.5" x14ac:dyDescent="0.3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5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</row>
    <row r="309" spans="1:58" ht="15.5" x14ac:dyDescent="0.3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5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</row>
    <row r="310" spans="1:58" ht="15.5" x14ac:dyDescent="0.3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5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</row>
    <row r="311" spans="1:58" ht="15.5" x14ac:dyDescent="0.3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5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</row>
    <row r="312" spans="1:58" ht="15.5" x14ac:dyDescent="0.3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5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</row>
    <row r="313" spans="1:58" ht="15.5" x14ac:dyDescent="0.3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5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</row>
    <row r="314" spans="1:58" ht="15.5" x14ac:dyDescent="0.3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5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</row>
    <row r="315" spans="1:58" ht="15.5" x14ac:dyDescent="0.3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5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</row>
    <row r="316" spans="1:58" ht="15.5" x14ac:dyDescent="0.3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5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</row>
    <row r="317" spans="1:58" ht="15.5" x14ac:dyDescent="0.3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5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</row>
    <row r="318" spans="1:58" ht="15.5" x14ac:dyDescent="0.3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5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</row>
    <row r="319" spans="1:58" ht="15.5" x14ac:dyDescent="0.3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5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</row>
    <row r="320" spans="1:58" ht="15.5" x14ac:dyDescent="0.3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5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</row>
    <row r="321" spans="1:58" ht="15.5" x14ac:dyDescent="0.3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5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</row>
    <row r="322" spans="1:58" ht="15.5" x14ac:dyDescent="0.3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5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</row>
    <row r="323" spans="1:58" ht="15.5" x14ac:dyDescent="0.3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5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</row>
    <row r="324" spans="1:58" ht="15.5" x14ac:dyDescent="0.3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5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</row>
    <row r="325" spans="1:58" ht="15.5" x14ac:dyDescent="0.3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5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</row>
    <row r="326" spans="1:58" ht="15.5" x14ac:dyDescent="0.3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5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</row>
    <row r="327" spans="1:58" ht="15.5" x14ac:dyDescent="0.3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5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</row>
    <row r="328" spans="1:58" ht="15.5" x14ac:dyDescent="0.3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5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</row>
    <row r="329" spans="1:58" ht="15.5" x14ac:dyDescent="0.3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5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</row>
    <row r="330" spans="1:58" ht="15.5" x14ac:dyDescent="0.3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5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</row>
    <row r="331" spans="1:58" ht="15.5" x14ac:dyDescent="0.3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5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</row>
    <row r="332" spans="1:58" ht="15.5" x14ac:dyDescent="0.3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5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</row>
    <row r="333" spans="1:58" ht="15.5" x14ac:dyDescent="0.3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5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</row>
    <row r="334" spans="1:58" ht="15.5" x14ac:dyDescent="0.3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5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</row>
    <row r="335" spans="1:58" ht="15.5" x14ac:dyDescent="0.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5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</row>
    <row r="336" spans="1:58" ht="15.5" x14ac:dyDescent="0.3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5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</row>
    <row r="337" spans="1:58" ht="15.5" x14ac:dyDescent="0.3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5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</row>
    <row r="338" spans="1:58" ht="15.5" x14ac:dyDescent="0.3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5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</row>
    <row r="339" spans="1:58" ht="15.5" x14ac:dyDescent="0.3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5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</row>
    <row r="340" spans="1:58" ht="15.5" x14ac:dyDescent="0.3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5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</row>
    <row r="341" spans="1:58" ht="15.5" x14ac:dyDescent="0.3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5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</row>
    <row r="342" spans="1:58" ht="15.5" x14ac:dyDescent="0.3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5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</row>
    <row r="343" spans="1:58" ht="15.5" x14ac:dyDescent="0.3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5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</row>
    <row r="344" spans="1:58" ht="15.5" x14ac:dyDescent="0.3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5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</row>
    <row r="345" spans="1:58" ht="15.5" x14ac:dyDescent="0.3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5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</row>
    <row r="346" spans="1:58" ht="15.5" x14ac:dyDescent="0.3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5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</row>
    <row r="347" spans="1:58" ht="15.5" x14ac:dyDescent="0.3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5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</row>
    <row r="348" spans="1:58" ht="15.5" x14ac:dyDescent="0.3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5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</row>
    <row r="349" spans="1:58" ht="15.5" x14ac:dyDescent="0.3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5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</row>
    <row r="350" spans="1:58" ht="15.5" x14ac:dyDescent="0.3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5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</row>
    <row r="351" spans="1:58" ht="15.5" x14ac:dyDescent="0.3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5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</row>
    <row r="352" spans="1:58" ht="15.5" x14ac:dyDescent="0.3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5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</row>
    <row r="353" spans="1:58" ht="15.5" x14ac:dyDescent="0.3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5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</row>
    <row r="354" spans="1:58" ht="15.5" x14ac:dyDescent="0.3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5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</row>
    <row r="355" spans="1:58" ht="15.5" x14ac:dyDescent="0.3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5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</row>
    <row r="356" spans="1:58" ht="15.5" x14ac:dyDescent="0.3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5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</row>
    <row r="357" spans="1:58" ht="15.5" x14ac:dyDescent="0.3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5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</row>
    <row r="358" spans="1:58" ht="15.5" x14ac:dyDescent="0.3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5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</row>
    <row r="359" spans="1:58" ht="15.5" x14ac:dyDescent="0.3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5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</row>
    <row r="360" spans="1:58" ht="15.5" x14ac:dyDescent="0.3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5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</row>
    <row r="361" spans="1:58" ht="15.5" x14ac:dyDescent="0.3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5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</row>
    <row r="362" spans="1:58" ht="15.5" x14ac:dyDescent="0.3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5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</row>
    <row r="363" spans="1:58" ht="15.5" x14ac:dyDescent="0.3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5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</row>
    <row r="364" spans="1:58" ht="15.5" x14ac:dyDescent="0.3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5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</row>
    <row r="365" spans="1:58" ht="15.5" x14ac:dyDescent="0.3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5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</row>
    <row r="366" spans="1:58" ht="15.5" x14ac:dyDescent="0.3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5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</row>
    <row r="367" spans="1:58" ht="15.5" x14ac:dyDescent="0.3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5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</row>
    <row r="368" spans="1:58" ht="15.5" x14ac:dyDescent="0.3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5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</row>
    <row r="369" spans="1:58" ht="15.5" x14ac:dyDescent="0.3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5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</row>
    <row r="370" spans="1:58" ht="15.5" x14ac:dyDescent="0.3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5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</row>
    <row r="371" spans="1:58" ht="15.5" x14ac:dyDescent="0.3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5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</row>
    <row r="372" spans="1:58" ht="15.5" x14ac:dyDescent="0.3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5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</row>
    <row r="373" spans="1:58" ht="15.5" x14ac:dyDescent="0.3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5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</row>
    <row r="374" spans="1:58" ht="15.5" x14ac:dyDescent="0.3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5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</row>
    <row r="375" spans="1:58" ht="15.5" x14ac:dyDescent="0.3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5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</row>
    <row r="376" spans="1:58" ht="15.5" x14ac:dyDescent="0.3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5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</row>
    <row r="377" spans="1:58" ht="15.5" x14ac:dyDescent="0.3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5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</row>
    <row r="378" spans="1:58" ht="15.5" x14ac:dyDescent="0.3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5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</row>
    <row r="379" spans="1:58" ht="15.5" x14ac:dyDescent="0.3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5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</row>
    <row r="380" spans="1:58" ht="15.5" x14ac:dyDescent="0.3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5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</row>
    <row r="381" spans="1:58" ht="15.5" x14ac:dyDescent="0.3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5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</row>
    <row r="382" spans="1:58" ht="15.5" x14ac:dyDescent="0.3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5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</row>
    <row r="383" spans="1:58" ht="15.5" x14ac:dyDescent="0.3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5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</row>
    <row r="384" spans="1:58" ht="15.5" x14ac:dyDescent="0.3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5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</row>
    <row r="385" spans="1:58" ht="15.5" x14ac:dyDescent="0.3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5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</row>
    <row r="386" spans="1:58" ht="15.5" x14ac:dyDescent="0.3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5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</row>
    <row r="387" spans="1:58" ht="15.5" x14ac:dyDescent="0.3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5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</row>
    <row r="388" spans="1:58" ht="15.5" x14ac:dyDescent="0.3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5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</row>
    <row r="389" spans="1:58" ht="15.5" x14ac:dyDescent="0.3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5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</row>
    <row r="390" spans="1:58" ht="15.5" x14ac:dyDescent="0.3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5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</row>
    <row r="391" spans="1:58" ht="15.5" x14ac:dyDescent="0.3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5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</row>
    <row r="392" spans="1:58" ht="15.5" x14ac:dyDescent="0.3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5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</row>
    <row r="393" spans="1:58" ht="15.5" x14ac:dyDescent="0.3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5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</row>
    <row r="394" spans="1:58" ht="15.5" x14ac:dyDescent="0.3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5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</row>
    <row r="395" spans="1:58" ht="15.5" x14ac:dyDescent="0.3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5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</row>
    <row r="396" spans="1:58" ht="15.5" x14ac:dyDescent="0.3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5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</row>
    <row r="397" spans="1:58" ht="15.5" x14ac:dyDescent="0.3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5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</row>
    <row r="398" spans="1:58" ht="15.5" x14ac:dyDescent="0.3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5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</row>
    <row r="399" spans="1:58" ht="15.5" x14ac:dyDescent="0.3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5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</row>
    <row r="400" spans="1:58" ht="15.5" x14ac:dyDescent="0.3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5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</row>
    <row r="401" spans="1:58" ht="15.5" x14ac:dyDescent="0.3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5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</row>
    <row r="402" spans="1:58" ht="15.5" x14ac:dyDescent="0.3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5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</row>
    <row r="403" spans="1:58" ht="15.5" x14ac:dyDescent="0.3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5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</row>
    <row r="404" spans="1:58" ht="15.5" x14ac:dyDescent="0.3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5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</row>
    <row r="405" spans="1:58" ht="15.5" x14ac:dyDescent="0.3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5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</row>
    <row r="406" spans="1:58" ht="15.5" x14ac:dyDescent="0.3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5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</row>
    <row r="407" spans="1:58" ht="15.5" x14ac:dyDescent="0.3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5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</row>
    <row r="408" spans="1:58" ht="15.5" x14ac:dyDescent="0.3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5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</row>
    <row r="409" spans="1:58" ht="15.5" x14ac:dyDescent="0.3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5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</row>
    <row r="410" spans="1:58" ht="15.5" x14ac:dyDescent="0.3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5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</row>
    <row r="411" spans="1:58" ht="15.5" x14ac:dyDescent="0.3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5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</row>
    <row r="412" spans="1:58" ht="15.5" x14ac:dyDescent="0.3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5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</row>
    <row r="413" spans="1:58" ht="15.5" x14ac:dyDescent="0.3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5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</row>
    <row r="414" spans="1:58" ht="15.5" x14ac:dyDescent="0.3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5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</row>
    <row r="415" spans="1:58" ht="15.5" x14ac:dyDescent="0.3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5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</row>
    <row r="416" spans="1:58" ht="15.5" x14ac:dyDescent="0.3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5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</row>
    <row r="417" spans="1:58" ht="15.5" x14ac:dyDescent="0.3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5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</row>
    <row r="418" spans="1:58" ht="15.5" x14ac:dyDescent="0.3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5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</row>
    <row r="419" spans="1:58" ht="15.5" x14ac:dyDescent="0.3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5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</row>
    <row r="420" spans="1:58" ht="15.5" x14ac:dyDescent="0.3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5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</row>
    <row r="421" spans="1:58" ht="15.5" x14ac:dyDescent="0.3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5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</row>
    <row r="422" spans="1:58" ht="15.5" x14ac:dyDescent="0.3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5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</row>
    <row r="423" spans="1:58" ht="15.5" x14ac:dyDescent="0.3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5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</row>
    <row r="424" spans="1:58" ht="15.5" x14ac:dyDescent="0.3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5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</row>
    <row r="425" spans="1:58" ht="15.5" x14ac:dyDescent="0.3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5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</row>
    <row r="426" spans="1:58" ht="15.5" x14ac:dyDescent="0.3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5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</row>
    <row r="427" spans="1:58" ht="15.5" x14ac:dyDescent="0.3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5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</row>
    <row r="428" spans="1:58" ht="15.5" x14ac:dyDescent="0.3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5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</row>
    <row r="429" spans="1:58" ht="15.5" x14ac:dyDescent="0.3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5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</row>
    <row r="430" spans="1:58" ht="15.5" x14ac:dyDescent="0.3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5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</row>
    <row r="431" spans="1:58" ht="15.5" x14ac:dyDescent="0.3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5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</row>
    <row r="432" spans="1:58" ht="15.5" x14ac:dyDescent="0.3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5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</row>
    <row r="433" spans="1:58" ht="15.5" x14ac:dyDescent="0.3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5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</row>
    <row r="434" spans="1:58" ht="15.5" x14ac:dyDescent="0.3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5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</row>
    <row r="435" spans="1:58" ht="15.5" x14ac:dyDescent="0.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5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</row>
    <row r="436" spans="1:58" ht="15.5" x14ac:dyDescent="0.3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5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</row>
    <row r="437" spans="1:58" ht="15.5" x14ac:dyDescent="0.3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5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</row>
    <row r="438" spans="1:58" ht="15.5" x14ac:dyDescent="0.3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5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</row>
    <row r="439" spans="1:58" ht="15.5" x14ac:dyDescent="0.3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5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</row>
    <row r="440" spans="1:58" ht="15.5" x14ac:dyDescent="0.3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5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</row>
    <row r="441" spans="1:58" ht="15.5" x14ac:dyDescent="0.3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5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</row>
    <row r="442" spans="1:58" ht="15.5" x14ac:dyDescent="0.3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5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</row>
    <row r="443" spans="1:58" ht="15.5" x14ac:dyDescent="0.3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5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</row>
    <row r="444" spans="1:58" ht="15.5" x14ac:dyDescent="0.3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5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</row>
    <row r="445" spans="1:58" ht="15.5" x14ac:dyDescent="0.3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5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</row>
    <row r="446" spans="1:58" ht="15.5" x14ac:dyDescent="0.3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5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</row>
    <row r="447" spans="1:58" ht="15.5" x14ac:dyDescent="0.3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5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</row>
    <row r="448" spans="1:58" ht="15.5" x14ac:dyDescent="0.3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5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</row>
    <row r="449" spans="1:58" ht="15.5" x14ac:dyDescent="0.3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5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</row>
    <row r="450" spans="1:58" ht="15.5" x14ac:dyDescent="0.3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5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</row>
    <row r="451" spans="1:58" ht="15.5" x14ac:dyDescent="0.3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5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</row>
    <row r="452" spans="1:58" ht="15.5" x14ac:dyDescent="0.3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5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</row>
    <row r="453" spans="1:58" ht="15.5" x14ac:dyDescent="0.3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5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</row>
    <row r="454" spans="1:58" ht="15.5" x14ac:dyDescent="0.3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5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</row>
    <row r="455" spans="1:58" ht="15.5" x14ac:dyDescent="0.3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5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</row>
    <row r="456" spans="1:58" ht="15.5" x14ac:dyDescent="0.3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5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</row>
    <row r="457" spans="1:58" ht="15.5" x14ac:dyDescent="0.3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5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</row>
    <row r="458" spans="1:58" ht="15.5" x14ac:dyDescent="0.3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5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</row>
    <row r="459" spans="1:58" ht="15.5" x14ac:dyDescent="0.3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5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</row>
    <row r="460" spans="1:58" ht="15.5" x14ac:dyDescent="0.3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5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</row>
    <row r="461" spans="1:58" ht="15.5" x14ac:dyDescent="0.3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5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</row>
    <row r="462" spans="1:58" ht="15.5" x14ac:dyDescent="0.3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5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</row>
    <row r="463" spans="1:58" ht="15.5" x14ac:dyDescent="0.3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5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</row>
    <row r="464" spans="1:58" ht="15.5" x14ac:dyDescent="0.3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5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</row>
    <row r="465" spans="1:58" ht="15.5" x14ac:dyDescent="0.3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5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</row>
    <row r="466" spans="1:58" ht="15.5" x14ac:dyDescent="0.3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5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</row>
    <row r="467" spans="1:58" ht="15.5" x14ac:dyDescent="0.3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5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</row>
    <row r="468" spans="1:58" ht="15.5" x14ac:dyDescent="0.3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5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</row>
    <row r="469" spans="1:58" ht="15.5" x14ac:dyDescent="0.3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5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</row>
    <row r="470" spans="1:58" ht="15.5" x14ac:dyDescent="0.3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5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</row>
    <row r="471" spans="1:58" ht="15.5" x14ac:dyDescent="0.3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5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</row>
    <row r="472" spans="1:58" ht="15.5" x14ac:dyDescent="0.3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5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</row>
    <row r="473" spans="1:58" ht="15.5" x14ac:dyDescent="0.3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5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</row>
    <row r="474" spans="1:58" ht="15.5" x14ac:dyDescent="0.3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5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</row>
    <row r="475" spans="1:58" ht="15.5" x14ac:dyDescent="0.3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5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</row>
    <row r="476" spans="1:58" ht="15.5" x14ac:dyDescent="0.3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5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</row>
    <row r="477" spans="1:58" ht="15.5" x14ac:dyDescent="0.3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5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</row>
    <row r="478" spans="1:58" ht="15.5" x14ac:dyDescent="0.3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5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</row>
    <row r="479" spans="1:58" ht="15.5" x14ac:dyDescent="0.3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5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</row>
    <row r="480" spans="1:58" ht="15.5" x14ac:dyDescent="0.3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5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</row>
    <row r="481" spans="1:58" ht="15.5" x14ac:dyDescent="0.3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5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</row>
    <row r="482" spans="1:58" ht="15.5" x14ac:dyDescent="0.3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5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</row>
    <row r="483" spans="1:58" ht="15.5" x14ac:dyDescent="0.3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5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</row>
    <row r="484" spans="1:58" ht="15.5" x14ac:dyDescent="0.3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5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</row>
    <row r="485" spans="1:58" ht="15.5" x14ac:dyDescent="0.3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5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</row>
    <row r="486" spans="1:58" ht="15.5" x14ac:dyDescent="0.3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5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</row>
    <row r="487" spans="1:58" ht="15.5" x14ac:dyDescent="0.3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5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</row>
    <row r="488" spans="1:58" ht="15.5" x14ac:dyDescent="0.3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5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</row>
    <row r="489" spans="1:58" ht="15.5" x14ac:dyDescent="0.3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5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</row>
    <row r="490" spans="1:58" ht="15.5" x14ac:dyDescent="0.3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5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</row>
    <row r="491" spans="1:58" ht="15.5" x14ac:dyDescent="0.3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5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</row>
    <row r="492" spans="1:58" ht="15.5" x14ac:dyDescent="0.3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5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</row>
    <row r="493" spans="1:58" ht="15.5" x14ac:dyDescent="0.3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5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</row>
    <row r="494" spans="1:58" ht="15.5" x14ac:dyDescent="0.3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5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</row>
    <row r="495" spans="1:58" ht="15.5" x14ac:dyDescent="0.3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5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</row>
    <row r="496" spans="1:58" ht="15.5" x14ac:dyDescent="0.3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5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</row>
    <row r="497" spans="1:58" ht="15.5" x14ac:dyDescent="0.3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5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</row>
    <row r="498" spans="1:58" ht="15.5" x14ac:dyDescent="0.3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5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</row>
    <row r="499" spans="1:58" ht="15.5" x14ac:dyDescent="0.3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5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</row>
    <row r="500" spans="1:58" ht="15.5" x14ac:dyDescent="0.3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5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</row>
    <row r="501" spans="1:58" ht="15.5" x14ac:dyDescent="0.3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5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</row>
    <row r="502" spans="1:58" ht="15.5" x14ac:dyDescent="0.3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5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</row>
    <row r="503" spans="1:58" ht="15.5" x14ac:dyDescent="0.3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5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</row>
    <row r="504" spans="1:58" ht="15.5" x14ac:dyDescent="0.3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5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</row>
    <row r="505" spans="1:58" ht="15.5" x14ac:dyDescent="0.3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5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</row>
    <row r="506" spans="1:58" ht="15.5" x14ac:dyDescent="0.3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5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</row>
    <row r="507" spans="1:58" ht="15.5" x14ac:dyDescent="0.3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5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</row>
    <row r="508" spans="1:58" ht="15.5" x14ac:dyDescent="0.3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5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</row>
    <row r="509" spans="1:58" ht="15.5" x14ac:dyDescent="0.3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5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</row>
    <row r="510" spans="1:58" ht="15.5" x14ac:dyDescent="0.3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5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</row>
    <row r="511" spans="1:58" ht="15.5" x14ac:dyDescent="0.3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5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</row>
    <row r="512" spans="1:58" ht="15.5" x14ac:dyDescent="0.3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5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</row>
    <row r="513" spans="1:58" ht="15.5" x14ac:dyDescent="0.3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5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</row>
    <row r="514" spans="1:58" ht="15.5" x14ac:dyDescent="0.3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5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</row>
    <row r="515" spans="1:58" ht="15.5" x14ac:dyDescent="0.3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5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</row>
    <row r="516" spans="1:58" ht="15.5" x14ac:dyDescent="0.3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5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</row>
    <row r="517" spans="1:58" ht="15.5" x14ac:dyDescent="0.3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5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</row>
    <row r="518" spans="1:58" ht="15.5" x14ac:dyDescent="0.3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5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</row>
    <row r="519" spans="1:58" ht="15.5" x14ac:dyDescent="0.3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5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</row>
    <row r="520" spans="1:58" ht="15.5" x14ac:dyDescent="0.3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5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</row>
    <row r="521" spans="1:58" ht="15.5" x14ac:dyDescent="0.3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5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</row>
    <row r="522" spans="1:58" ht="15.5" x14ac:dyDescent="0.3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5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</row>
    <row r="523" spans="1:58" ht="15.5" x14ac:dyDescent="0.3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5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</row>
    <row r="524" spans="1:58" ht="15.5" x14ac:dyDescent="0.3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5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</row>
    <row r="525" spans="1:58" ht="15.5" x14ac:dyDescent="0.3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5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</row>
    <row r="526" spans="1:58" ht="15.5" x14ac:dyDescent="0.3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5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</row>
    <row r="527" spans="1:58" ht="15.5" x14ac:dyDescent="0.3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5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</row>
    <row r="528" spans="1:58" ht="15.5" x14ac:dyDescent="0.3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5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</row>
    <row r="529" spans="1:58" ht="15.5" x14ac:dyDescent="0.3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5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</row>
    <row r="530" spans="1:58" ht="15.5" x14ac:dyDescent="0.3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5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</row>
    <row r="531" spans="1:58" ht="15.5" x14ac:dyDescent="0.3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5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</row>
    <row r="532" spans="1:58" ht="15.5" x14ac:dyDescent="0.3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5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</row>
    <row r="533" spans="1:58" ht="15.5" x14ac:dyDescent="0.3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5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</row>
    <row r="534" spans="1:58" ht="15.5" x14ac:dyDescent="0.3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5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</row>
    <row r="535" spans="1:58" ht="15.5" x14ac:dyDescent="0.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5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</row>
    <row r="536" spans="1:58" ht="15.5" x14ac:dyDescent="0.3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5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</row>
    <row r="537" spans="1:58" ht="15.5" x14ac:dyDescent="0.3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5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</row>
    <row r="538" spans="1:58" ht="15.5" x14ac:dyDescent="0.3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5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</row>
    <row r="539" spans="1:58" ht="15.5" x14ac:dyDescent="0.3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5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</row>
    <row r="540" spans="1:58" ht="15.5" x14ac:dyDescent="0.3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5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</row>
    <row r="541" spans="1:58" ht="15.5" x14ac:dyDescent="0.3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5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</row>
    <row r="542" spans="1:58" ht="15.5" x14ac:dyDescent="0.3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5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</row>
    <row r="543" spans="1:58" ht="15.5" x14ac:dyDescent="0.3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5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</row>
    <row r="544" spans="1:58" ht="15.5" x14ac:dyDescent="0.3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5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</row>
    <row r="545" spans="1:58" ht="15.5" x14ac:dyDescent="0.3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5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</row>
    <row r="546" spans="1:58" ht="15.5" x14ac:dyDescent="0.3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5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</row>
    <row r="547" spans="1:58" ht="15.5" x14ac:dyDescent="0.3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5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</row>
    <row r="548" spans="1:58" ht="15.5" x14ac:dyDescent="0.3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5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</row>
    <row r="549" spans="1:58" ht="15.5" x14ac:dyDescent="0.3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5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</row>
    <row r="550" spans="1:58" ht="15.5" x14ac:dyDescent="0.3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5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</row>
    <row r="551" spans="1:58" ht="15.5" x14ac:dyDescent="0.3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5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</row>
    <row r="552" spans="1:58" ht="15.5" x14ac:dyDescent="0.3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5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</row>
    <row r="553" spans="1:58" ht="15.5" x14ac:dyDescent="0.3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5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</row>
    <row r="554" spans="1:58" ht="15.5" x14ac:dyDescent="0.3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5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</row>
    <row r="555" spans="1:58" ht="15.5" x14ac:dyDescent="0.3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5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</row>
    <row r="556" spans="1:58" ht="15.5" x14ac:dyDescent="0.3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5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</row>
    <row r="557" spans="1:58" ht="15.5" x14ac:dyDescent="0.3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5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</row>
    <row r="558" spans="1:58" ht="15.5" x14ac:dyDescent="0.3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5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</row>
    <row r="559" spans="1:58" ht="15.5" x14ac:dyDescent="0.3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5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</row>
    <row r="560" spans="1:58" ht="15.5" x14ac:dyDescent="0.3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5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</row>
    <row r="561" spans="1:58" ht="15.5" x14ac:dyDescent="0.3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5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</row>
    <row r="562" spans="1:58" ht="15.5" x14ac:dyDescent="0.3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5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</row>
    <row r="563" spans="1:58" ht="15.5" x14ac:dyDescent="0.3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5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</row>
    <row r="564" spans="1:58" ht="15.5" x14ac:dyDescent="0.3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5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</row>
    <row r="565" spans="1:58" ht="15.5" x14ac:dyDescent="0.3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5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</row>
    <row r="566" spans="1:58" ht="15.5" x14ac:dyDescent="0.3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5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</row>
    <row r="567" spans="1:58" ht="15.5" x14ac:dyDescent="0.3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5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</row>
    <row r="568" spans="1:58" ht="15.5" x14ac:dyDescent="0.3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5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</row>
    <row r="569" spans="1:58" ht="15.5" x14ac:dyDescent="0.3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5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</row>
    <row r="570" spans="1:58" ht="15.5" x14ac:dyDescent="0.3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5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</row>
    <row r="571" spans="1:58" ht="15.5" x14ac:dyDescent="0.3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5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</row>
    <row r="572" spans="1:58" ht="15.5" x14ac:dyDescent="0.3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5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</row>
    <row r="573" spans="1:58" ht="15.5" x14ac:dyDescent="0.3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5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</row>
    <row r="574" spans="1:58" ht="15.5" x14ac:dyDescent="0.3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5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</row>
    <row r="575" spans="1:58" ht="15.5" x14ac:dyDescent="0.3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5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</row>
    <row r="576" spans="1:58" ht="15.5" x14ac:dyDescent="0.3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5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</row>
    <row r="577" spans="1:58" ht="15.5" x14ac:dyDescent="0.3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5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</row>
    <row r="578" spans="1:58" ht="15.5" x14ac:dyDescent="0.3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5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</row>
    <row r="579" spans="1:58" ht="15.5" x14ac:dyDescent="0.3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5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</row>
    <row r="580" spans="1:58" ht="15.5" x14ac:dyDescent="0.3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5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</row>
    <row r="581" spans="1:58" ht="15.5" x14ac:dyDescent="0.3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5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</row>
    <row r="582" spans="1:58" ht="15.5" x14ac:dyDescent="0.3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5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</row>
    <row r="583" spans="1:58" ht="15.5" x14ac:dyDescent="0.3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5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</row>
    <row r="584" spans="1:58" ht="15.5" x14ac:dyDescent="0.3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5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</row>
    <row r="585" spans="1:58" ht="15.5" x14ac:dyDescent="0.3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5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</row>
    <row r="586" spans="1:58" ht="15.5" x14ac:dyDescent="0.3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5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</row>
    <row r="587" spans="1:58" ht="15.5" x14ac:dyDescent="0.3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5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</row>
    <row r="588" spans="1:58" ht="15.5" x14ac:dyDescent="0.3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5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</row>
    <row r="589" spans="1:58" ht="15.5" x14ac:dyDescent="0.3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5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</row>
    <row r="590" spans="1:58" ht="15.5" x14ac:dyDescent="0.3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5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</row>
    <row r="591" spans="1:58" ht="15.5" x14ac:dyDescent="0.3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5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</row>
    <row r="592" spans="1:58" ht="15.5" x14ac:dyDescent="0.3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5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</row>
    <row r="593" spans="1:58" ht="15.5" x14ac:dyDescent="0.3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5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</row>
    <row r="594" spans="1:58" ht="15.5" x14ac:dyDescent="0.3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5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</row>
    <row r="595" spans="1:58" ht="15.5" x14ac:dyDescent="0.3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5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</row>
    <row r="596" spans="1:58" ht="15.5" x14ac:dyDescent="0.3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5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</row>
    <row r="597" spans="1:58" ht="15.5" x14ac:dyDescent="0.3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5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</row>
    <row r="598" spans="1:58" ht="15.5" x14ac:dyDescent="0.3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5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</row>
    <row r="599" spans="1:58" ht="15.5" x14ac:dyDescent="0.3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5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</row>
    <row r="600" spans="1:58" ht="15.5" x14ac:dyDescent="0.3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5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</row>
    <row r="601" spans="1:58" ht="15.5" x14ac:dyDescent="0.3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5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</row>
    <row r="602" spans="1:58" ht="15.5" x14ac:dyDescent="0.3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5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</row>
    <row r="603" spans="1:58" ht="15.5" x14ac:dyDescent="0.3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5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</row>
    <row r="604" spans="1:58" ht="15.5" x14ac:dyDescent="0.3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5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</row>
    <row r="605" spans="1:58" ht="15.5" x14ac:dyDescent="0.3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5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</row>
    <row r="606" spans="1:58" ht="15.5" x14ac:dyDescent="0.3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5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</row>
    <row r="607" spans="1:58" ht="15.5" x14ac:dyDescent="0.3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5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</row>
    <row r="608" spans="1:58" ht="15.5" x14ac:dyDescent="0.3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5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</row>
    <row r="609" spans="1:58" ht="15.5" x14ac:dyDescent="0.3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5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</row>
    <row r="610" spans="1:58" ht="15.5" x14ac:dyDescent="0.3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5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</row>
    <row r="611" spans="1:58" ht="15.5" x14ac:dyDescent="0.3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5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</row>
    <row r="612" spans="1:58" ht="15.5" x14ac:dyDescent="0.3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5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</row>
    <row r="613" spans="1:58" ht="15.5" x14ac:dyDescent="0.3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5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</row>
    <row r="614" spans="1:58" ht="15.5" x14ac:dyDescent="0.3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5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</row>
    <row r="615" spans="1:58" ht="15.5" x14ac:dyDescent="0.3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5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</row>
    <row r="616" spans="1:58" ht="15.5" x14ac:dyDescent="0.3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5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</row>
    <row r="617" spans="1:58" ht="15.5" x14ac:dyDescent="0.3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5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</row>
    <row r="618" spans="1:58" ht="15.5" x14ac:dyDescent="0.3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5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</row>
    <row r="619" spans="1:58" ht="15.5" x14ac:dyDescent="0.3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5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</row>
    <row r="620" spans="1:58" ht="15.5" x14ac:dyDescent="0.3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5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</row>
    <row r="621" spans="1:58" ht="15.5" x14ac:dyDescent="0.3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5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</row>
    <row r="622" spans="1:58" ht="15.5" x14ac:dyDescent="0.3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5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</row>
    <row r="623" spans="1:58" ht="15.5" x14ac:dyDescent="0.3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5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</row>
    <row r="624" spans="1:58" ht="15.5" x14ac:dyDescent="0.3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5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</row>
    <row r="625" spans="1:58" ht="15.5" x14ac:dyDescent="0.3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5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</row>
    <row r="626" spans="1:58" ht="15.5" x14ac:dyDescent="0.3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5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</row>
    <row r="627" spans="1:58" ht="15.5" x14ac:dyDescent="0.3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5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</row>
    <row r="628" spans="1:58" ht="15.5" x14ac:dyDescent="0.3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5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</row>
    <row r="629" spans="1:58" ht="15.5" x14ac:dyDescent="0.3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5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</row>
    <row r="630" spans="1:58" ht="15.5" x14ac:dyDescent="0.3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5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</row>
    <row r="631" spans="1:58" ht="15.5" x14ac:dyDescent="0.3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5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</row>
    <row r="632" spans="1:58" ht="15.5" x14ac:dyDescent="0.3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5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</row>
    <row r="633" spans="1:58" ht="15.5" x14ac:dyDescent="0.3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5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</row>
    <row r="634" spans="1:58" ht="15.5" x14ac:dyDescent="0.3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5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</row>
    <row r="635" spans="1:58" ht="15.5" x14ac:dyDescent="0.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5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</row>
    <row r="636" spans="1:58" ht="15.5" x14ac:dyDescent="0.3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5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</row>
    <row r="637" spans="1:58" ht="15.5" x14ac:dyDescent="0.3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5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</row>
    <row r="638" spans="1:58" ht="15.5" x14ac:dyDescent="0.3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5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</row>
    <row r="639" spans="1:58" ht="15.5" x14ac:dyDescent="0.3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5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</row>
    <row r="640" spans="1:58" ht="15.5" x14ac:dyDescent="0.3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5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</row>
    <row r="641" spans="1:58" ht="15.5" x14ac:dyDescent="0.3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5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</row>
    <row r="642" spans="1:58" ht="15.5" x14ac:dyDescent="0.3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5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</row>
    <row r="643" spans="1:58" ht="15.5" x14ac:dyDescent="0.3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5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</row>
    <row r="644" spans="1:58" ht="15.5" x14ac:dyDescent="0.3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5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</row>
    <row r="645" spans="1:58" ht="15.5" x14ac:dyDescent="0.3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5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</row>
    <row r="646" spans="1:58" ht="15.5" x14ac:dyDescent="0.3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5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</row>
    <row r="647" spans="1:58" ht="15.5" x14ac:dyDescent="0.3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5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</row>
    <row r="648" spans="1:58" ht="15.5" x14ac:dyDescent="0.3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5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</row>
    <row r="649" spans="1:58" ht="15.5" x14ac:dyDescent="0.3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5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</row>
    <row r="650" spans="1:58" ht="15.5" x14ac:dyDescent="0.3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5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</row>
    <row r="651" spans="1:58" ht="15.5" x14ac:dyDescent="0.3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5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</row>
    <row r="652" spans="1:58" ht="15.5" x14ac:dyDescent="0.3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5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</row>
    <row r="653" spans="1:58" ht="15.5" x14ac:dyDescent="0.3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5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</row>
    <row r="654" spans="1:58" ht="15.5" x14ac:dyDescent="0.3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5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</row>
    <row r="655" spans="1:58" ht="15.5" x14ac:dyDescent="0.3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5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</row>
    <row r="656" spans="1:58" ht="15.5" x14ac:dyDescent="0.3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5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</row>
    <row r="657" spans="1:58" ht="15.5" x14ac:dyDescent="0.3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5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</row>
    <row r="658" spans="1:58" ht="15.5" x14ac:dyDescent="0.3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5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</row>
    <row r="659" spans="1:58" ht="15.5" x14ac:dyDescent="0.3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5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</row>
    <row r="660" spans="1:58" ht="15.5" x14ac:dyDescent="0.3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5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</row>
    <row r="661" spans="1:58" ht="15.5" x14ac:dyDescent="0.3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5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</row>
    <row r="662" spans="1:58" ht="15.5" x14ac:dyDescent="0.3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5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</row>
    <row r="663" spans="1:58" ht="15.5" x14ac:dyDescent="0.3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5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</row>
    <row r="664" spans="1:58" ht="15.5" x14ac:dyDescent="0.3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5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</row>
    <row r="665" spans="1:58" ht="15.5" x14ac:dyDescent="0.3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5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</row>
    <row r="666" spans="1:58" ht="15.5" x14ac:dyDescent="0.3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5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</row>
    <row r="667" spans="1:58" ht="15.5" x14ac:dyDescent="0.3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5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</row>
    <row r="668" spans="1:58" ht="15.5" x14ac:dyDescent="0.3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5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</row>
    <row r="669" spans="1:58" ht="15.5" x14ac:dyDescent="0.3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5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</row>
    <row r="670" spans="1:58" ht="15.5" x14ac:dyDescent="0.3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5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</row>
    <row r="671" spans="1:58" ht="15.5" x14ac:dyDescent="0.3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5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</row>
    <row r="672" spans="1:58" ht="15.5" x14ac:dyDescent="0.3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5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</row>
    <row r="673" spans="1:58" ht="15.5" x14ac:dyDescent="0.3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5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</row>
    <row r="674" spans="1:58" ht="15.5" x14ac:dyDescent="0.3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5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</row>
    <row r="675" spans="1:58" ht="15.5" x14ac:dyDescent="0.3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5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</row>
    <row r="676" spans="1:58" ht="15.5" x14ac:dyDescent="0.3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5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</row>
    <row r="677" spans="1:58" ht="15.5" x14ac:dyDescent="0.3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5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</row>
    <row r="678" spans="1:58" ht="15.5" x14ac:dyDescent="0.3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5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</row>
    <row r="679" spans="1:58" ht="15.5" x14ac:dyDescent="0.3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5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</row>
    <row r="680" spans="1:58" ht="15.5" x14ac:dyDescent="0.3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5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</row>
    <row r="681" spans="1:58" ht="15.5" x14ac:dyDescent="0.3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5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</row>
    <row r="682" spans="1:58" ht="15.5" x14ac:dyDescent="0.3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5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</row>
    <row r="683" spans="1:58" ht="15.5" x14ac:dyDescent="0.3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5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</row>
    <row r="684" spans="1:58" ht="15.5" x14ac:dyDescent="0.3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5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</row>
    <row r="685" spans="1:58" ht="15.5" x14ac:dyDescent="0.3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5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</row>
    <row r="686" spans="1:58" ht="15.5" x14ac:dyDescent="0.3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5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</row>
    <row r="687" spans="1:58" ht="15.5" x14ac:dyDescent="0.3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5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</row>
    <row r="688" spans="1:58" ht="15.5" x14ac:dyDescent="0.3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5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</row>
    <row r="689" spans="1:58" ht="15.5" x14ac:dyDescent="0.3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5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</row>
    <row r="690" spans="1:58" ht="15.5" x14ac:dyDescent="0.3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5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</row>
    <row r="691" spans="1:58" ht="15.5" x14ac:dyDescent="0.3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5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</row>
    <row r="692" spans="1:58" ht="15.5" x14ac:dyDescent="0.3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5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</row>
    <row r="693" spans="1:58" ht="15.5" x14ac:dyDescent="0.3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5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</row>
    <row r="694" spans="1:58" ht="15.5" x14ac:dyDescent="0.3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5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</row>
    <row r="695" spans="1:58" ht="15.5" x14ac:dyDescent="0.3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5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</row>
    <row r="696" spans="1:58" ht="15.5" x14ac:dyDescent="0.3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5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</row>
    <row r="697" spans="1:58" ht="15.5" x14ac:dyDescent="0.3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5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</row>
    <row r="698" spans="1:58" ht="15.5" x14ac:dyDescent="0.3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5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</row>
    <row r="699" spans="1:58" ht="15.5" x14ac:dyDescent="0.3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5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</row>
    <row r="700" spans="1:58" ht="15.5" x14ac:dyDescent="0.3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5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</row>
    <row r="701" spans="1:58" ht="15.5" x14ac:dyDescent="0.3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5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</row>
    <row r="702" spans="1:58" ht="15.5" x14ac:dyDescent="0.3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5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</row>
    <row r="703" spans="1:58" ht="15.5" x14ac:dyDescent="0.3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5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</row>
    <row r="704" spans="1:58" ht="15.5" x14ac:dyDescent="0.3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5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</row>
    <row r="705" spans="1:58" ht="15.5" x14ac:dyDescent="0.3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5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</row>
    <row r="706" spans="1:58" ht="15.5" x14ac:dyDescent="0.3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5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</row>
    <row r="707" spans="1:58" ht="15.5" x14ac:dyDescent="0.3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5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</row>
    <row r="708" spans="1:58" ht="15.5" x14ac:dyDescent="0.3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5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</row>
    <row r="709" spans="1:58" ht="15.5" x14ac:dyDescent="0.3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5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</row>
    <row r="710" spans="1:58" ht="15.5" x14ac:dyDescent="0.3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5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</row>
    <row r="711" spans="1:58" ht="15.5" x14ac:dyDescent="0.3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5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</row>
    <row r="712" spans="1:58" ht="15.5" x14ac:dyDescent="0.3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5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</row>
    <row r="713" spans="1:58" ht="15.5" x14ac:dyDescent="0.3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5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</row>
    <row r="714" spans="1:58" ht="15.5" x14ac:dyDescent="0.3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5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</row>
    <row r="715" spans="1:58" ht="15.5" x14ac:dyDescent="0.3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5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</row>
    <row r="716" spans="1:58" ht="15.5" x14ac:dyDescent="0.3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5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</row>
    <row r="717" spans="1:58" ht="15.5" x14ac:dyDescent="0.3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5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</row>
    <row r="718" spans="1:58" ht="15.5" x14ac:dyDescent="0.3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5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</row>
    <row r="719" spans="1:58" ht="15.5" x14ac:dyDescent="0.3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5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</row>
    <row r="720" spans="1:58" ht="15.5" x14ac:dyDescent="0.3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5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</row>
    <row r="721" spans="1:58" ht="15.5" x14ac:dyDescent="0.3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5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</row>
    <row r="722" spans="1:58" ht="15.5" x14ac:dyDescent="0.3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5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</row>
    <row r="723" spans="1:58" ht="15.5" x14ac:dyDescent="0.3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5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</row>
    <row r="724" spans="1:58" ht="15.5" x14ac:dyDescent="0.3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5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</row>
    <row r="725" spans="1:58" ht="15.5" x14ac:dyDescent="0.3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5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</row>
    <row r="726" spans="1:58" ht="15.5" x14ac:dyDescent="0.3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5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</row>
    <row r="727" spans="1:58" ht="15.5" x14ac:dyDescent="0.3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5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</row>
    <row r="728" spans="1:58" ht="15.5" x14ac:dyDescent="0.3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5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</row>
    <row r="729" spans="1:58" ht="15.5" x14ac:dyDescent="0.3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5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</row>
    <row r="730" spans="1:58" ht="15.5" x14ac:dyDescent="0.3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5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</row>
    <row r="731" spans="1:58" ht="15.5" x14ac:dyDescent="0.3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5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</row>
    <row r="732" spans="1:58" ht="15.5" x14ac:dyDescent="0.3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5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</row>
    <row r="733" spans="1:58" ht="15.5" x14ac:dyDescent="0.3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5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</row>
    <row r="734" spans="1:58" ht="15.5" x14ac:dyDescent="0.3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5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</row>
    <row r="735" spans="1:58" ht="15.5" x14ac:dyDescent="0.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5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</row>
    <row r="736" spans="1:58" ht="15.5" x14ac:dyDescent="0.3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5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</row>
    <row r="737" spans="1:58" ht="15.5" x14ac:dyDescent="0.3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5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</row>
    <row r="738" spans="1:58" ht="15.5" x14ac:dyDescent="0.3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5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</row>
    <row r="739" spans="1:58" ht="15.5" x14ac:dyDescent="0.3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5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</row>
    <row r="740" spans="1:58" ht="15.5" x14ac:dyDescent="0.3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5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</row>
    <row r="741" spans="1:58" ht="15.5" x14ac:dyDescent="0.3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5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</row>
    <row r="742" spans="1:58" ht="15.5" x14ac:dyDescent="0.3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5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</row>
    <row r="743" spans="1:58" ht="15.5" x14ac:dyDescent="0.3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5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</row>
    <row r="744" spans="1:58" ht="15.5" x14ac:dyDescent="0.3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5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</row>
    <row r="745" spans="1:58" ht="15.5" x14ac:dyDescent="0.3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5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</row>
    <row r="746" spans="1:58" ht="15.5" x14ac:dyDescent="0.3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5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</row>
    <row r="747" spans="1:58" ht="15.5" x14ac:dyDescent="0.3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5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</row>
    <row r="748" spans="1:58" ht="15.5" x14ac:dyDescent="0.3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5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</row>
    <row r="749" spans="1:58" ht="15.5" x14ac:dyDescent="0.3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5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</row>
    <row r="750" spans="1:58" ht="15.5" x14ac:dyDescent="0.3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5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</row>
    <row r="751" spans="1:58" ht="15.5" x14ac:dyDescent="0.3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5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</row>
    <row r="752" spans="1:58" ht="15.5" x14ac:dyDescent="0.3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5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</row>
    <row r="753" spans="1:58" ht="15.5" x14ac:dyDescent="0.3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5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</row>
    <row r="754" spans="1:58" ht="15.5" x14ac:dyDescent="0.3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5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</row>
    <row r="755" spans="1:58" ht="15.5" x14ac:dyDescent="0.3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5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</row>
    <row r="756" spans="1:58" ht="15.5" x14ac:dyDescent="0.3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5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</row>
    <row r="757" spans="1:58" ht="15.5" x14ac:dyDescent="0.3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5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</row>
    <row r="758" spans="1:58" ht="15.5" x14ac:dyDescent="0.3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5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</row>
    <row r="759" spans="1:58" ht="15.5" x14ac:dyDescent="0.3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5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</row>
    <row r="760" spans="1:58" ht="15.5" x14ac:dyDescent="0.3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5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</row>
    <row r="761" spans="1:58" ht="15.5" x14ac:dyDescent="0.3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5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</row>
    <row r="762" spans="1:58" ht="15.5" x14ac:dyDescent="0.3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5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</row>
    <row r="763" spans="1:58" ht="15.5" x14ac:dyDescent="0.3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5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</row>
    <row r="764" spans="1:58" ht="15.5" x14ac:dyDescent="0.3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5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</row>
    <row r="765" spans="1:58" ht="15.5" x14ac:dyDescent="0.3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5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</row>
    <row r="766" spans="1:58" ht="15.5" x14ac:dyDescent="0.3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5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</row>
    <row r="767" spans="1:58" ht="15.5" x14ac:dyDescent="0.3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5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</row>
    <row r="768" spans="1:58" ht="15.5" x14ac:dyDescent="0.3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5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</row>
    <row r="769" spans="1:58" ht="15.5" x14ac:dyDescent="0.3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5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</row>
    <row r="770" spans="1:58" ht="15.5" x14ac:dyDescent="0.3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5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</row>
    <row r="771" spans="1:58" ht="15.5" x14ac:dyDescent="0.3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5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</row>
    <row r="772" spans="1:58" ht="15.5" x14ac:dyDescent="0.3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5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</row>
    <row r="773" spans="1:58" ht="15.5" x14ac:dyDescent="0.3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5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</row>
    <row r="774" spans="1:58" ht="15.5" x14ac:dyDescent="0.3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5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</row>
    <row r="775" spans="1:58" ht="15.5" x14ac:dyDescent="0.3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5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</row>
    <row r="776" spans="1:58" ht="15.5" x14ac:dyDescent="0.3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5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</row>
    <row r="777" spans="1:58" ht="15.5" x14ac:dyDescent="0.3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5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</row>
    <row r="778" spans="1:58" ht="15.5" x14ac:dyDescent="0.3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5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</row>
    <row r="779" spans="1:58" ht="15.5" x14ac:dyDescent="0.3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5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</row>
    <row r="780" spans="1:58" ht="15.5" x14ac:dyDescent="0.3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5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</row>
    <row r="781" spans="1:58" ht="15.5" x14ac:dyDescent="0.3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5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</row>
    <row r="782" spans="1:58" ht="15.5" x14ac:dyDescent="0.3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5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</row>
    <row r="783" spans="1:58" ht="15.5" x14ac:dyDescent="0.3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5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</row>
    <row r="784" spans="1:58" ht="15.5" x14ac:dyDescent="0.3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5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</row>
    <row r="785" spans="1:58" ht="15.5" x14ac:dyDescent="0.3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5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</row>
    <row r="786" spans="1:58" ht="15.5" x14ac:dyDescent="0.3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5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</row>
    <row r="787" spans="1:58" ht="15.5" x14ac:dyDescent="0.3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5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</row>
    <row r="788" spans="1:58" ht="15.5" x14ac:dyDescent="0.3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5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</row>
    <row r="789" spans="1:58" ht="15.5" x14ac:dyDescent="0.3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5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</row>
    <row r="790" spans="1:58" ht="15.5" x14ac:dyDescent="0.3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5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</row>
    <row r="791" spans="1:58" ht="15.5" x14ac:dyDescent="0.3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5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</row>
    <row r="792" spans="1:58" ht="15.5" x14ac:dyDescent="0.3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5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</row>
    <row r="793" spans="1:58" ht="15.5" x14ac:dyDescent="0.3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5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</row>
    <row r="794" spans="1:58" ht="15.5" x14ac:dyDescent="0.3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5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</row>
    <row r="795" spans="1:58" ht="15.5" x14ac:dyDescent="0.3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5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</row>
    <row r="796" spans="1:58" ht="15.5" x14ac:dyDescent="0.3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5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</row>
    <row r="797" spans="1:58" ht="15.5" x14ac:dyDescent="0.3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5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</row>
    <row r="798" spans="1:58" ht="15.5" x14ac:dyDescent="0.3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5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</row>
    <row r="799" spans="1:58" ht="15.5" x14ac:dyDescent="0.3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5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</row>
    <row r="800" spans="1:58" ht="15.5" x14ac:dyDescent="0.3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5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</row>
    <row r="801" spans="1:58" ht="15.5" x14ac:dyDescent="0.3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5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</row>
    <row r="802" spans="1:58" ht="15.5" x14ac:dyDescent="0.3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5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</row>
    <row r="803" spans="1:58" ht="15.5" x14ac:dyDescent="0.3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5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</row>
    <row r="804" spans="1:58" ht="15.5" x14ac:dyDescent="0.3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5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</row>
    <row r="805" spans="1:58" ht="15.5" x14ac:dyDescent="0.3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5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</row>
    <row r="806" spans="1:58" ht="15.5" x14ac:dyDescent="0.3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5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</row>
    <row r="807" spans="1:58" ht="15.5" x14ac:dyDescent="0.3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5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</row>
    <row r="808" spans="1:58" ht="15.5" x14ac:dyDescent="0.3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5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</row>
    <row r="809" spans="1:58" ht="15.5" x14ac:dyDescent="0.3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5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</row>
    <row r="810" spans="1:58" ht="15.5" x14ac:dyDescent="0.3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5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</row>
    <row r="811" spans="1:58" ht="15.5" x14ac:dyDescent="0.3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5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</row>
    <row r="812" spans="1:58" ht="15.5" x14ac:dyDescent="0.3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5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</row>
    <row r="813" spans="1:58" ht="15.5" x14ac:dyDescent="0.3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5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</row>
    <row r="814" spans="1:58" ht="15.5" x14ac:dyDescent="0.3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5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</row>
    <row r="815" spans="1:58" ht="15.5" x14ac:dyDescent="0.3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5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</row>
    <row r="816" spans="1:58" ht="15.5" x14ac:dyDescent="0.3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5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</row>
    <row r="817" spans="1:58" ht="15.5" x14ac:dyDescent="0.3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5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</row>
    <row r="818" spans="1:58" ht="15.5" x14ac:dyDescent="0.3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5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</row>
    <row r="819" spans="1:58" ht="15.5" x14ac:dyDescent="0.3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5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</row>
    <row r="820" spans="1:58" ht="15.5" x14ac:dyDescent="0.3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5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</row>
    <row r="821" spans="1:58" ht="15.5" x14ac:dyDescent="0.3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5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</row>
    <row r="822" spans="1:58" ht="15.5" x14ac:dyDescent="0.3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5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</row>
    <row r="823" spans="1:58" ht="15.5" x14ac:dyDescent="0.3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5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</row>
    <row r="824" spans="1:58" ht="15.5" x14ac:dyDescent="0.3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5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</row>
    <row r="825" spans="1:58" ht="15.5" x14ac:dyDescent="0.3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5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</row>
    <row r="826" spans="1:58" ht="15.5" x14ac:dyDescent="0.3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5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</row>
    <row r="827" spans="1:58" ht="15.5" x14ac:dyDescent="0.3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5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</row>
    <row r="828" spans="1:58" ht="15.5" x14ac:dyDescent="0.3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5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</row>
    <row r="829" spans="1:58" ht="15.5" x14ac:dyDescent="0.3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5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</row>
    <row r="830" spans="1:58" ht="15.5" x14ac:dyDescent="0.3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5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</row>
    <row r="831" spans="1:58" ht="15.5" x14ac:dyDescent="0.3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5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</row>
    <row r="832" spans="1:58" ht="15.5" x14ac:dyDescent="0.3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5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</row>
    <row r="833" spans="1:58" ht="15.5" x14ac:dyDescent="0.3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5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</row>
    <row r="834" spans="1:58" ht="15.5" x14ac:dyDescent="0.3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5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</row>
    <row r="835" spans="1:58" ht="15.5" x14ac:dyDescent="0.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5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</row>
    <row r="836" spans="1:58" ht="15.5" x14ac:dyDescent="0.3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5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</row>
    <row r="837" spans="1:58" ht="15.5" x14ac:dyDescent="0.3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5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</row>
    <row r="838" spans="1:58" ht="15.5" x14ac:dyDescent="0.3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5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</row>
    <row r="839" spans="1:58" ht="15.5" x14ac:dyDescent="0.3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5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</row>
    <row r="840" spans="1:58" ht="15.5" x14ac:dyDescent="0.3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5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</row>
    <row r="841" spans="1:58" ht="15.5" x14ac:dyDescent="0.3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5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</row>
    <row r="842" spans="1:58" ht="15.5" x14ac:dyDescent="0.3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5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</row>
    <row r="843" spans="1:58" ht="15.5" x14ac:dyDescent="0.3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5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</row>
    <row r="844" spans="1:58" ht="15.5" x14ac:dyDescent="0.3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5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</row>
    <row r="845" spans="1:58" ht="15.5" x14ac:dyDescent="0.3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5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</row>
    <row r="846" spans="1:58" ht="15.5" x14ac:dyDescent="0.3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5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</row>
    <row r="847" spans="1:58" ht="15.5" x14ac:dyDescent="0.3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5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</row>
    <row r="848" spans="1:58" ht="15.5" x14ac:dyDescent="0.3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5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</row>
    <row r="849" spans="1:58" ht="15.5" x14ac:dyDescent="0.3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5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</row>
    <row r="850" spans="1:58" ht="15.5" x14ac:dyDescent="0.3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5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</row>
    <row r="851" spans="1:58" ht="15.5" x14ac:dyDescent="0.3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5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</row>
    <row r="852" spans="1:58" ht="15.5" x14ac:dyDescent="0.3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5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</row>
    <row r="853" spans="1:58" ht="15.5" x14ac:dyDescent="0.3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5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</row>
    <row r="854" spans="1:58" ht="15.5" x14ac:dyDescent="0.3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5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</row>
    <row r="855" spans="1:58" ht="15.5" x14ac:dyDescent="0.3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5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</row>
    <row r="856" spans="1:58" ht="15.5" x14ac:dyDescent="0.3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5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</row>
    <row r="857" spans="1:58" ht="15.5" x14ac:dyDescent="0.3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5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</row>
    <row r="858" spans="1:58" ht="15.5" x14ac:dyDescent="0.3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5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</row>
    <row r="859" spans="1:58" ht="15.5" x14ac:dyDescent="0.3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5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</row>
    <row r="860" spans="1:58" ht="15.5" x14ac:dyDescent="0.3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5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</row>
    <row r="861" spans="1:58" ht="15.5" x14ac:dyDescent="0.3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5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</row>
    <row r="862" spans="1:58" ht="15.5" x14ac:dyDescent="0.3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5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</row>
    <row r="863" spans="1:58" ht="15.5" x14ac:dyDescent="0.3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5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</row>
    <row r="864" spans="1:58" ht="15.5" x14ac:dyDescent="0.3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5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</row>
    <row r="865" spans="1:58" ht="15.5" x14ac:dyDescent="0.3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5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</row>
    <row r="866" spans="1:58" ht="15.5" x14ac:dyDescent="0.3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5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</row>
    <row r="867" spans="1:58" ht="15.5" x14ac:dyDescent="0.3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5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</row>
    <row r="868" spans="1:58" ht="15.5" x14ac:dyDescent="0.3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5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</row>
    <row r="869" spans="1:58" ht="15.5" x14ac:dyDescent="0.3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5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</row>
    <row r="870" spans="1:58" ht="15.5" x14ac:dyDescent="0.3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5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</row>
    <row r="871" spans="1:58" ht="15.5" x14ac:dyDescent="0.3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5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</row>
    <row r="872" spans="1:58" ht="15.5" x14ac:dyDescent="0.3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5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</row>
    <row r="873" spans="1:58" ht="15.5" x14ac:dyDescent="0.3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5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</row>
    <row r="874" spans="1:58" ht="15.5" x14ac:dyDescent="0.3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5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</row>
    <row r="875" spans="1:58" ht="15.5" x14ac:dyDescent="0.3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5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</row>
    <row r="876" spans="1:58" ht="15.5" x14ac:dyDescent="0.3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5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</row>
    <row r="877" spans="1:58" ht="15.5" x14ac:dyDescent="0.3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5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</row>
    <row r="878" spans="1:58" ht="15.5" x14ac:dyDescent="0.3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5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</row>
    <row r="879" spans="1:58" ht="15.5" x14ac:dyDescent="0.3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5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</row>
    <row r="880" spans="1:58" ht="15.5" x14ac:dyDescent="0.3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5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</row>
    <row r="881" spans="1:58" ht="15.5" x14ac:dyDescent="0.3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5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</row>
    <row r="882" spans="1:58" ht="15.5" x14ac:dyDescent="0.3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5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</row>
    <row r="883" spans="1:58" ht="15.5" x14ac:dyDescent="0.3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5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</row>
    <row r="884" spans="1:58" ht="15.5" x14ac:dyDescent="0.3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5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</row>
    <row r="885" spans="1:58" ht="15.5" x14ac:dyDescent="0.3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5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</row>
    <row r="886" spans="1:58" ht="15.5" x14ac:dyDescent="0.3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5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</row>
    <row r="887" spans="1:58" ht="15.5" x14ac:dyDescent="0.3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5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</row>
    <row r="888" spans="1:58" ht="15.5" x14ac:dyDescent="0.3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5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</row>
    <row r="889" spans="1:58" ht="15.5" x14ac:dyDescent="0.3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5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</row>
    <row r="890" spans="1:58" ht="15.5" x14ac:dyDescent="0.3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5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</row>
    <row r="891" spans="1:58" ht="15.5" x14ac:dyDescent="0.3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5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</row>
    <row r="892" spans="1:58" ht="15.5" x14ac:dyDescent="0.3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5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</row>
    <row r="893" spans="1:58" ht="15.5" x14ac:dyDescent="0.3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5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</row>
    <row r="894" spans="1:58" ht="15.5" x14ac:dyDescent="0.3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5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</row>
    <row r="895" spans="1:58" ht="15.5" x14ac:dyDescent="0.3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5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</row>
    <row r="896" spans="1:58" ht="15.5" x14ac:dyDescent="0.3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5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</row>
    <row r="897" spans="1:58" ht="15.5" x14ac:dyDescent="0.3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5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</row>
    <row r="898" spans="1:58" ht="15.5" x14ac:dyDescent="0.3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5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</row>
    <row r="899" spans="1:58" ht="15.5" x14ac:dyDescent="0.3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5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</row>
    <row r="900" spans="1:58" ht="15.5" x14ac:dyDescent="0.3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5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</row>
    <row r="901" spans="1:58" ht="15.5" x14ac:dyDescent="0.3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5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</row>
    <row r="902" spans="1:58" ht="15.5" x14ac:dyDescent="0.3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5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</row>
    <row r="903" spans="1:58" ht="15.5" x14ac:dyDescent="0.3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5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</row>
    <row r="904" spans="1:58" ht="15.5" x14ac:dyDescent="0.3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5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</row>
    <row r="905" spans="1:58" ht="15.5" x14ac:dyDescent="0.3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5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</row>
    <row r="906" spans="1:58" ht="15.5" x14ac:dyDescent="0.3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5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</row>
    <row r="907" spans="1:58" ht="15.5" x14ac:dyDescent="0.3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5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</row>
    <row r="908" spans="1:58" ht="15.5" x14ac:dyDescent="0.3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5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</row>
    <row r="909" spans="1:58" ht="15.5" x14ac:dyDescent="0.3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5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</row>
    <row r="910" spans="1:58" ht="15.5" x14ac:dyDescent="0.3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5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</row>
    <row r="911" spans="1:58" ht="15.5" x14ac:dyDescent="0.3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5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</row>
    <row r="912" spans="1:58" ht="15.5" x14ac:dyDescent="0.3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5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</row>
    <row r="913" spans="1:58" ht="15.5" x14ac:dyDescent="0.3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5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</row>
    <row r="914" spans="1:58" ht="15.5" x14ac:dyDescent="0.3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5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</row>
    <row r="915" spans="1:58" ht="15.5" x14ac:dyDescent="0.3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5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</row>
    <row r="916" spans="1:58" ht="15.5" x14ac:dyDescent="0.3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5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</row>
    <row r="917" spans="1:58" ht="15.5" x14ac:dyDescent="0.3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5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</row>
    <row r="918" spans="1:58" ht="15.5" x14ac:dyDescent="0.3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5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</row>
    <row r="919" spans="1:58" ht="15.5" x14ac:dyDescent="0.3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5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</row>
    <row r="920" spans="1:58" ht="15.5" x14ac:dyDescent="0.3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5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</row>
    <row r="921" spans="1:58" ht="15.5" x14ac:dyDescent="0.3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5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</row>
    <row r="922" spans="1:58" ht="15.5" x14ac:dyDescent="0.3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5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</row>
    <row r="923" spans="1:58" ht="15.5" x14ac:dyDescent="0.3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5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</row>
    <row r="924" spans="1:58" ht="15.5" x14ac:dyDescent="0.3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5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</row>
    <row r="925" spans="1:58" ht="15.5" x14ac:dyDescent="0.3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5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</row>
    <row r="926" spans="1:58" ht="15.5" x14ac:dyDescent="0.3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5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</row>
    <row r="927" spans="1:58" ht="15.5" x14ac:dyDescent="0.3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5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</row>
    <row r="928" spans="1:58" ht="15.5" x14ac:dyDescent="0.3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5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</row>
    <row r="929" spans="1:58" ht="15.5" x14ac:dyDescent="0.3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5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</row>
    <row r="930" spans="1:58" ht="15.5" x14ac:dyDescent="0.3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5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</row>
    <row r="931" spans="1:58" ht="15.5" x14ac:dyDescent="0.3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5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</row>
    <row r="932" spans="1:58" ht="15.5" x14ac:dyDescent="0.3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5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</row>
    <row r="933" spans="1:58" ht="15.5" x14ac:dyDescent="0.3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5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</row>
    <row r="934" spans="1:58" ht="15.5" x14ac:dyDescent="0.3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5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</row>
    <row r="935" spans="1:58" ht="15.5" x14ac:dyDescent="0.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5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</row>
    <row r="936" spans="1:58" ht="15.5" x14ac:dyDescent="0.3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5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</row>
    <row r="937" spans="1:58" ht="15.5" x14ac:dyDescent="0.3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5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</row>
    <row r="938" spans="1:58" ht="15.5" x14ac:dyDescent="0.3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5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</row>
    <row r="939" spans="1:58" ht="15.5" x14ac:dyDescent="0.3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5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</row>
    <row r="940" spans="1:58" ht="15.5" x14ac:dyDescent="0.3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5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</row>
    <row r="941" spans="1:58" ht="15.5" x14ac:dyDescent="0.3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5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</row>
    <row r="942" spans="1:58" ht="15.5" x14ac:dyDescent="0.3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5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</row>
    <row r="943" spans="1:58" ht="15.5" x14ac:dyDescent="0.3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5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</row>
    <row r="944" spans="1:58" ht="15.5" x14ac:dyDescent="0.3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5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</row>
    <row r="945" spans="1:58" ht="15.5" x14ac:dyDescent="0.3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5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</row>
    <row r="946" spans="1:58" ht="15.5" x14ac:dyDescent="0.3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5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</row>
    <row r="947" spans="1:58" ht="15.5" x14ac:dyDescent="0.3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5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</row>
    <row r="948" spans="1:58" ht="15.5" x14ac:dyDescent="0.3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5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</row>
    <row r="949" spans="1:58" ht="15.5" x14ac:dyDescent="0.3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5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</row>
    <row r="950" spans="1:58" ht="15.5" x14ac:dyDescent="0.3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5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</row>
    <row r="951" spans="1:58" ht="15.5" x14ac:dyDescent="0.3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5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</row>
    <row r="952" spans="1:58" ht="15.5" x14ac:dyDescent="0.3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5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</row>
    <row r="953" spans="1:58" ht="15.5" x14ac:dyDescent="0.3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5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</row>
    <row r="954" spans="1:58" ht="15.5" x14ac:dyDescent="0.3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5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</row>
    <row r="955" spans="1:58" ht="15.5" x14ac:dyDescent="0.3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5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</row>
    <row r="956" spans="1:58" ht="15.5" x14ac:dyDescent="0.3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5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</row>
    <row r="957" spans="1:58" ht="15.5" x14ac:dyDescent="0.3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5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</row>
    <row r="958" spans="1:58" ht="15.5" x14ac:dyDescent="0.3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5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</row>
    <row r="959" spans="1:58" ht="15.5" x14ac:dyDescent="0.3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5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</row>
    <row r="960" spans="1:58" ht="15.5" x14ac:dyDescent="0.3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5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</row>
    <row r="961" spans="1:58" ht="15.5" x14ac:dyDescent="0.3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5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</row>
    <row r="962" spans="1:58" ht="15.5" x14ac:dyDescent="0.3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5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</row>
    <row r="963" spans="1:58" ht="15.5" x14ac:dyDescent="0.3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5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</row>
    <row r="964" spans="1:58" ht="15.5" x14ac:dyDescent="0.3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5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</row>
    <row r="965" spans="1:58" ht="15.5" x14ac:dyDescent="0.3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5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</row>
    <row r="966" spans="1:58" ht="15.5" x14ac:dyDescent="0.3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5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</row>
    <row r="967" spans="1:58" ht="15.5" x14ac:dyDescent="0.3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5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</row>
    <row r="968" spans="1:58" ht="15.5" x14ac:dyDescent="0.3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5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</row>
    <row r="969" spans="1:58" ht="15.5" x14ac:dyDescent="0.3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5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</row>
    <row r="970" spans="1:58" ht="15.5" x14ac:dyDescent="0.3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5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</row>
    <row r="971" spans="1:58" ht="15.5" x14ac:dyDescent="0.3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5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</row>
    <row r="972" spans="1:58" ht="15.5" x14ac:dyDescent="0.3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5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</row>
    <row r="973" spans="1:58" ht="15.5" x14ac:dyDescent="0.3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5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</row>
    <row r="974" spans="1:58" ht="15.5" x14ac:dyDescent="0.3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5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</row>
    <row r="975" spans="1:58" ht="15.5" x14ac:dyDescent="0.3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5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</row>
    <row r="976" spans="1:58" ht="15.5" x14ac:dyDescent="0.3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5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</row>
    <row r="977" spans="1:58" ht="15.5" x14ac:dyDescent="0.3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5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</row>
    <row r="978" spans="1:58" ht="15.5" x14ac:dyDescent="0.3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5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</row>
    <row r="979" spans="1:58" ht="15.5" x14ac:dyDescent="0.3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5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</row>
    <row r="980" spans="1:58" ht="15.5" x14ac:dyDescent="0.3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5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</row>
    <row r="981" spans="1:58" ht="15.5" x14ac:dyDescent="0.3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5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</row>
    <row r="982" spans="1:58" ht="15.5" x14ac:dyDescent="0.3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5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</row>
    <row r="983" spans="1:58" ht="15.5" x14ac:dyDescent="0.3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5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</row>
    <row r="984" spans="1:58" ht="15.5" x14ac:dyDescent="0.3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5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</row>
    <row r="985" spans="1:58" ht="15.5" x14ac:dyDescent="0.3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5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</row>
    <row r="986" spans="1:58" ht="15.5" x14ac:dyDescent="0.3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5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</row>
    <row r="987" spans="1:58" ht="15.5" x14ac:dyDescent="0.3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5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</row>
    <row r="988" spans="1:58" ht="15.5" x14ac:dyDescent="0.3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5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</row>
    <row r="989" spans="1:58" ht="15.5" x14ac:dyDescent="0.3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5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</row>
    <row r="990" spans="1:58" ht="15.5" x14ac:dyDescent="0.3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5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</row>
    <row r="991" spans="1:58" ht="15.5" x14ac:dyDescent="0.3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5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</row>
    <row r="992" spans="1:58" ht="15.5" x14ac:dyDescent="0.3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5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</row>
    <row r="993" spans="1:58" ht="15.5" x14ac:dyDescent="0.3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5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</row>
    <row r="994" spans="1:58" ht="15.5" x14ac:dyDescent="0.3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5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</row>
    <row r="995" spans="1:58" ht="15.5" x14ac:dyDescent="0.3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5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</row>
    <row r="996" spans="1:58" ht="15.5" x14ac:dyDescent="0.3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5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</row>
    <row r="997" spans="1:58" ht="15.5" x14ac:dyDescent="0.3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5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</row>
    <row r="998" spans="1:58" ht="15.5" x14ac:dyDescent="0.3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5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</row>
    <row r="999" spans="1:58" ht="15.5" x14ac:dyDescent="0.3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5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Do Pham Ha Chi</cp:lastModifiedBy>
  <dcterms:created xsi:type="dcterms:W3CDTF">2015-06-05T18:17:20Z</dcterms:created>
  <dcterms:modified xsi:type="dcterms:W3CDTF">2026-03-15T16:15:23Z</dcterms:modified>
</cp:coreProperties>
</file>