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KỲ 3\SQL\PROJECT\TEAM_1_FirmDataHub\FirmDataHub\data\"/>
    </mc:Choice>
  </mc:AlternateContent>
  <xr:revisionPtr revIDLastSave="0" documentId="13_ncr:1_{D219AAE1-D521-46CD-8865-14D58DA0B3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2" i="1" l="1"/>
  <c r="Q102" i="1"/>
  <c r="T101" i="1"/>
  <c r="Q101" i="1"/>
  <c r="I101" i="1"/>
  <c r="T100" i="1"/>
  <c r="Q100" i="1"/>
  <c r="T99" i="1"/>
  <c r="Q99" i="1"/>
  <c r="T98" i="1"/>
  <c r="Q98" i="1"/>
  <c r="H47" i="1"/>
  <c r="H46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tc={E4BD97C7-398D-4F9B-BAA1-75119F1884FD}</author>
  </authors>
  <commentList>
    <comment ref="A1" authorId="0" shapeId="0" xr:uid="{E4BD97C7-398D-4F9B-BAA1-75119F1884FD}">
      <text>
        <t>[Threaded comment]
Your version of Excel allows you to read this threaded comment; however, any edits to it will get removed if the file is opened in a newer version of Excel. Learn more: https://go.microsoft.com/fwlink/?linkid=870924
Comment:
    Sai do sai số cổ phiếu đang phát hành</t>
      </text>
    </comment>
  </commentList>
</comments>
</file>

<file path=xl/sharedStrings.xml><?xml version="1.0" encoding="utf-8"?>
<sst xmlns="http://schemas.openxmlformats.org/spreadsheetml/2006/main" count="666" uniqueCount="103">
  <si>
    <t>No.</t>
  </si>
  <si>
    <t>Company</t>
  </si>
  <si>
    <t>StockCode</t>
  </si>
  <si>
    <t>YearEnd</t>
  </si>
  <si>
    <t>Industry</t>
  </si>
  <si>
    <t>Managerial/Inside ownership</t>
  </si>
  <si>
    <t>State ownership</t>
  </si>
  <si>
    <t>Foreign ownership</t>
  </si>
  <si>
    <t>Total share outstanding</t>
  </si>
  <si>
    <t>Total sales revenue</t>
  </si>
  <si>
    <t>Net sales revenue</t>
  </si>
  <si>
    <t>Total assets</t>
  </si>
  <si>
    <t>Selling expenses</t>
  </si>
  <si>
    <t>General and administrative expenditure</t>
  </si>
  <si>
    <t>Value of intangible assets</t>
  </si>
  <si>
    <t>Manufacturing overhead (Indirect cost)</t>
  </si>
  <si>
    <t>Net operating income</t>
  </si>
  <si>
    <t>Consumption of raw material</t>
  </si>
  <si>
    <t>Merchandise purchase of the year</t>
  </si>
  <si>
    <t>Work-in-progess goods purchase</t>
  </si>
  <si>
    <t>Outside manufacturing expenses</t>
  </si>
  <si>
    <t>Production cost</t>
  </si>
  <si>
    <t>Product innovation</t>
  </si>
  <si>
    <t>Process innovation</t>
  </si>
  <si>
    <t>Net Income</t>
  </si>
  <si>
    <t>Total shareholders' equity</t>
  </si>
  <si>
    <t>Market value of equity</t>
  </si>
  <si>
    <t>Total liabilities</t>
  </si>
  <si>
    <t>Net cash from operating activities</t>
  </si>
  <si>
    <t>Capital expenditure</t>
  </si>
  <si>
    <t>Cash flows from investing activities</t>
  </si>
  <si>
    <t>Cash and cash equivalent</t>
  </si>
  <si>
    <t>Long-term debt</t>
  </si>
  <si>
    <t>Current assets</t>
  </si>
  <si>
    <t>Current liabiltiies</t>
  </si>
  <si>
    <t>Growth ratio</t>
  </si>
  <si>
    <t>Total inventory</t>
  </si>
  <si>
    <t>Divident payment</t>
  </si>
  <si>
    <t>EPS</t>
  </si>
  <si>
    <t>Number of employees</t>
  </si>
  <si>
    <t>Net plant, property and equipment</t>
  </si>
  <si>
    <t>Firm age</t>
  </si>
  <si>
    <t>ratio 0-1</t>
  </si>
  <si>
    <t>shares</t>
  </si>
  <si>
    <t>bil.VND</t>
  </si>
  <si>
    <t>0 or 1</t>
  </si>
  <si>
    <t>ratio</t>
  </si>
  <si>
    <t>VND/share</t>
  </si>
  <si>
    <t>persons</t>
  </si>
  <si>
    <t>years</t>
  </si>
  <si>
    <t>CTCP Tap doan ASG</t>
  </si>
  <si>
    <t>ASG</t>
  </si>
  <si>
    <t>NULL</t>
  </si>
  <si>
    <t>CTCP Camimex Group</t>
  </si>
  <si>
    <t>CMX</t>
  </si>
  <si>
    <t>CTCP Everpia</t>
  </si>
  <si>
    <t>EVE</t>
  </si>
  <si>
    <t>CTCP Dai ly Van tai SAFI</t>
  </si>
  <si>
    <t>SFI</t>
  </si>
  <si>
    <t>CTCP Dau tu va XD 3-2</t>
  </si>
  <si>
    <t>C32</t>
  </si>
  <si>
    <t>CTCP City Auto</t>
  </si>
  <si>
    <t>CTF</t>
  </si>
  <si>
    <t>CTCP Det may Hoa Tho</t>
  </si>
  <si>
    <t>HTG</t>
  </si>
  <si>
    <t>CTCP Quoc te Son Ha</t>
  </si>
  <si>
    <t>SHI</t>
  </si>
  <si>
    <t>CTCP Lam nong san Yen Bai</t>
  </si>
  <si>
    <t>CAP</t>
  </si>
  <si>
    <t>CTCP Hoa An</t>
  </si>
  <si>
    <t>DHA</t>
  </si>
  <si>
    <t>CTCP Bao bi va In Nong Nghiep</t>
  </si>
  <si>
    <t>INN</t>
  </si>
  <si>
    <t>CTCP Dau tu Thuong mai SMC</t>
  </si>
  <si>
    <t>SMC</t>
  </si>
  <si>
    <t>CTCP Thuoc la Cat Loi</t>
  </si>
  <si>
    <t>CLC</t>
  </si>
  <si>
    <t>CTCP DNP Holding</t>
  </si>
  <si>
    <t>DNP</t>
  </si>
  <si>
    <t>CTCP Khoang san Binh Duong</t>
  </si>
  <si>
    <t>KSB</t>
  </si>
  <si>
    <t>CTCP Khu trung Viet Nam</t>
  </si>
  <si>
    <t>VFG</t>
  </si>
  <si>
    <t>CTCP Cang Cat Lai</t>
  </si>
  <si>
    <t>CLL</t>
  </si>
  <si>
    <t>CTCP Cao su Dong Phu</t>
  </si>
  <si>
    <t>DPR</t>
  </si>
  <si>
    <t>CTCP Da Nui Nho</t>
  </si>
  <si>
    <t>NNC</t>
  </si>
  <si>
    <t>CTCP Ben xe Mien Tay</t>
  </si>
  <si>
    <t>WCS</t>
  </si>
  <si>
    <t xml:space="preserve">NULL </t>
  </si>
  <si>
    <t>Triển khai nâng cấp hệ thống quản lý vận hành, đẩy mạnh số hóa quy trình logistics (BCTN 2022)</t>
  </si>
  <si>
    <t>Tiếp tục đầu tư hệ thống CNTT, tối ưu hóa vận hành &amp; quản trị chuỗi cung ứng (BCTN 2023)</t>
  </si>
  <si>
    <t>tình hình dự án đầu tư</t>
  </si>
  <si>
    <t xml:space="preserve"> no innovation reported</t>
  </si>
  <si>
    <t xml:space="preserve">  Institutional ownership </t>
  </si>
  <si>
    <t xml:space="preserve"> Evidence note  </t>
  </si>
  <si>
    <t xml:space="preserve">Share price   </t>
  </si>
  <si>
    <t xml:space="preserve">R&amp;D expenditure </t>
  </si>
  <si>
    <t>launched new product line</t>
  </si>
  <si>
    <t>implemented new manufacturing process</t>
  </si>
  <si>
    <t>no innovation 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</si>
</sst>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 x14ac:knownFonts="1">
    <font>
      <sz val="11"/>
      <color theme="1"/>
      <name val="Calibri"/>
      <family val="2"/>
      <scheme val="minor"/>
    </font>
    <font>
      <sz val="12"/>
      <color rgb="FFFFFFFF"/>
      <name val="Times New Roman"/>
      <family val="1"/>
    </font>
    <font>
      <i/>
      <sz val="12"/>
      <color rgb="FF404040"/>
      <name val="Times New Roman"/>
      <family val="1"/>
    </font>
    <font>
      <sz val="12"/>
      <color theme="1"/>
      <name val="Times New Roman"/>
      <family val="1"/>
    </font>
    <font>
      <sz val="12"/>
      <color rgb="FF1F3864"/>
      <name val="Times New Roman"/>
      <family val="1"/>
    </font>
    <font>
      <sz val="12"/>
      <color rgb="FF0F1115"/>
      <name val="Times New Roman"/>
      <family val="1"/>
    </font>
    <font>
      <sz val="12"/>
      <color rgb="FF1F1F1F"/>
      <name val="Times New Roman"/>
      <family val="1"/>
    </font>
    <font>
      <sz val="12"/>
      <color rgb="FF333333"/>
      <name val="Times New Roman"/>
      <family val="1"/>
    </font>
    <font>
      <sz val="10"/>
      <color theme="1"/>
      <name val="Arial"/>
      <family val="2"/>
    </font>
    <font>
      <sz val="13"/>
      <color theme="1"/>
      <name val="Times New Roman"/>
      <family val="1"/>
    </font>
    <font>
      <sz val="13"/>
      <color rgb="FF0F1115"/>
      <name val="Times New Roman"/>
      <family val="1"/>
    </font>
    <font>
      <sz val="13"/>
      <color rgb="FF333333"/>
      <name val="Times New Roman"/>
      <family val="1"/>
    </font>
    <font>
      <b/>
      <sz val="12"/>
      <color theme="1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1F7A4D"/>
        <bgColor rgb="FF1F7A4D"/>
      </patternFill>
    </fill>
    <fill>
      <patternFill patternType="solid">
        <fgColor rgb="FF7030A0"/>
        <bgColor rgb="FF7030A0"/>
      </patternFill>
    </fill>
    <fill>
      <patternFill patternType="solid">
        <fgColor rgb="FFC55A11"/>
        <bgColor rgb="FFC55A11"/>
      </patternFill>
    </fill>
    <fill>
      <patternFill patternType="solid">
        <fgColor rgb="FF156082"/>
        <bgColor rgb="FF156082"/>
      </patternFill>
    </fill>
    <fill>
      <patternFill patternType="solid">
        <fgColor rgb="FF833C00"/>
        <bgColor rgb="FF833C00"/>
      </patternFill>
    </fill>
    <fill>
      <patternFill patternType="solid">
        <fgColor rgb="FF375623"/>
        <bgColor rgb="FF37562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0000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164" fontId="1" fillId="5" borderId="0" xfId="0" applyNumberFormat="1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164" fontId="2" fillId="9" borderId="0" xfId="0" applyNumberFormat="1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164" fontId="5" fillId="10" borderId="0" xfId="0" applyNumberFormat="1" applyFont="1" applyFill="1" applyAlignment="1">
      <alignment horizontal="center" vertical="center" wrapText="1"/>
    </xf>
    <xf numFmtId="164" fontId="6" fillId="10" borderId="0" xfId="0" applyNumberFormat="1" applyFont="1" applyFill="1" applyAlignment="1">
      <alignment horizontal="center" vertical="center" wrapText="1"/>
    </xf>
    <xf numFmtId="3" fontId="5" fillId="10" borderId="0" xfId="0" applyNumberFormat="1" applyFont="1" applyFill="1" applyAlignment="1">
      <alignment horizontal="center" vertical="center" wrapText="1"/>
    </xf>
    <xf numFmtId="3" fontId="3" fillId="10" borderId="0" xfId="0" applyNumberFormat="1" applyFont="1" applyFill="1" applyAlignment="1">
      <alignment horizontal="center" vertical="center" wrapText="1"/>
    </xf>
    <xf numFmtId="3" fontId="3" fillId="10" borderId="0" xfId="0" applyNumberFormat="1" applyFont="1" applyFill="1" applyAlignment="1">
      <alignment horizontal="center" vertical="center"/>
    </xf>
    <xf numFmtId="3" fontId="5" fillId="10" borderId="0" xfId="0" applyNumberFormat="1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164" fontId="5" fillId="10" borderId="0" xfId="0" applyNumberFormat="1" applyFont="1" applyFill="1" applyAlignment="1">
      <alignment horizontal="center" vertical="center"/>
    </xf>
    <xf numFmtId="3" fontId="7" fillId="10" borderId="0" xfId="0" applyNumberFormat="1" applyFont="1" applyFill="1" applyAlignment="1">
      <alignment horizontal="center" vertical="center" wrapText="1"/>
    </xf>
    <xf numFmtId="3" fontId="7" fillId="10" borderId="0" xfId="0" applyNumberFormat="1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/>
    </xf>
    <xf numFmtId="3" fontId="3" fillId="11" borderId="0" xfId="0" applyNumberFormat="1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164" fontId="3" fillId="11" borderId="0" xfId="0" applyNumberFormat="1" applyFont="1" applyFill="1" applyAlignment="1">
      <alignment horizontal="center" vertical="center"/>
    </xf>
    <xf numFmtId="164" fontId="3" fillId="10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4" fillId="12" borderId="0" xfId="0" applyFont="1" applyFill="1" applyAlignment="1">
      <alignment horizontal="center" vertical="center" wrapText="1"/>
    </xf>
    <xf numFmtId="164" fontId="3" fillId="12" borderId="0" xfId="0" applyNumberFormat="1" applyFont="1" applyFill="1" applyAlignment="1">
      <alignment horizontal="center" vertical="center" wrapText="1"/>
    </xf>
    <xf numFmtId="3" fontId="3" fillId="12" borderId="0" xfId="0" applyNumberFormat="1" applyFont="1" applyFill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12" borderId="0" xfId="0" applyNumberFormat="1" applyFont="1" applyFill="1" applyAlignment="1">
      <alignment horizontal="center" vertical="center"/>
    </xf>
    <xf numFmtId="9" fontId="3" fillId="12" borderId="0" xfId="0" applyNumberFormat="1" applyFont="1" applyFill="1" applyAlignment="1">
      <alignment horizontal="center" vertical="center" wrapText="1"/>
    </xf>
    <xf numFmtId="164" fontId="3" fillId="10" borderId="0" xfId="0" applyNumberFormat="1" applyFont="1" applyFill="1" applyAlignment="1">
      <alignment horizontal="center" vertical="center"/>
    </xf>
    <xf numFmtId="164" fontId="7" fillId="10" borderId="0" xfId="0" applyNumberFormat="1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4" fontId="3" fillId="10" borderId="0" xfId="0" applyNumberFormat="1" applyFont="1" applyFill="1" applyAlignment="1">
      <alignment horizontal="center" vertical="center"/>
    </xf>
    <xf numFmtId="164" fontId="4" fillId="12" borderId="0" xfId="0" applyNumberFormat="1" applyFont="1" applyFill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1" fillId="14" borderId="0" xfId="0" applyFont="1" applyFill="1" applyAlignment="1">
      <alignment horizontal="center" vertical="center"/>
    </xf>
    <xf numFmtId="0" fontId="8" fillId="15" borderId="0" xfId="0" applyFont="1" applyFill="1" applyAlignment="1">
      <alignment vertical="center"/>
    </xf>
    <xf numFmtId="0" fontId="9" fillId="16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8" fillId="19" borderId="0" xfId="0" applyFont="1" applyFill="1" applyAlignment="1">
      <alignment vertical="center"/>
    </xf>
    <xf numFmtId="0" fontId="8" fillId="14" borderId="0" xfId="0" applyFont="1" applyFill="1" applyAlignment="1">
      <alignment vertical="center"/>
    </xf>
    <xf numFmtId="0" fontId="1" fillId="14" borderId="0" xfId="0" applyFont="1" applyFill="1" applyAlignment="1">
      <alignment horizontal="center" vertical="center" wrapText="1"/>
    </xf>
    <xf numFmtId="0" fontId="8" fillId="15" borderId="0" xfId="0" applyFont="1" applyFill="1" applyAlignment="1">
      <alignment vertical="center" wrapText="1"/>
    </xf>
    <xf numFmtId="0" fontId="9" fillId="16" borderId="0" xfId="0" applyFont="1" applyFill="1" applyAlignment="1">
      <alignment horizontal="center" vertical="center" wrapText="1"/>
    </xf>
    <xf numFmtId="0" fontId="3" fillId="17" borderId="0" xfId="0" applyFont="1" applyFill="1" applyAlignment="1">
      <alignment horizontal="center" vertical="center" wrapText="1"/>
    </xf>
    <xf numFmtId="0" fontId="3" fillId="14" borderId="0" xfId="0" applyFont="1" applyFill="1" applyAlignment="1">
      <alignment horizontal="center" vertical="center" wrapText="1"/>
    </xf>
    <xf numFmtId="0" fontId="3" fillId="18" borderId="0" xfId="0" applyFont="1" applyFill="1" applyAlignment="1">
      <alignment horizontal="center" vertical="center" wrapText="1"/>
    </xf>
    <xf numFmtId="0" fontId="12" fillId="17" borderId="0" xfId="0" applyFont="1" applyFill="1" applyAlignment="1">
      <alignment horizontal="center" vertical="center" wrapText="1"/>
    </xf>
    <xf numFmtId="0" fontId="8" fillId="19" borderId="0" xfId="0" applyFont="1" applyFill="1" applyAlignment="1">
      <alignment vertical="center" wrapText="1"/>
    </xf>
    <xf numFmtId="0" fontId="8" fillId="14" borderId="0" xfId="0" applyFont="1" applyFill="1" applyAlignment="1">
      <alignment vertical="center" wrapText="1"/>
    </xf>
    <xf numFmtId="3" fontId="10" fillId="20" borderId="0" xfId="0" applyNumberFormat="1" applyFont="1" applyFill="1" applyAlignment="1">
      <alignment horizontal="center" vertical="center" wrapText="1"/>
    </xf>
    <xf numFmtId="3" fontId="3" fillId="17" borderId="0" xfId="0" applyNumberFormat="1" applyFont="1" applyFill="1" applyAlignment="1">
      <alignment horizontal="center" vertical="center" wrapText="1"/>
    </xf>
    <xf numFmtId="3" fontId="3" fillId="14" borderId="0" xfId="0" applyNumberFormat="1" applyFont="1" applyFill="1" applyAlignment="1">
      <alignment horizontal="center" vertical="center" wrapText="1"/>
    </xf>
    <xf numFmtId="3" fontId="3" fillId="18" borderId="0" xfId="0" applyNumberFormat="1" applyFont="1" applyFill="1" applyAlignment="1">
      <alignment horizontal="center" vertical="center" wrapText="1"/>
    </xf>
    <xf numFmtId="3" fontId="11" fillId="20" borderId="0" xfId="0" applyNumberFormat="1" applyFont="1" applyFill="1" applyAlignment="1">
      <alignment horizontal="center" vertical="center" wrapText="1"/>
    </xf>
    <xf numFmtId="3" fontId="9" fillId="20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guyen Duong" id="{E690A490-159B-49EE-B5B4-979A2EDA95AE}" userId="" providerId="google-sheets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2-27T22:48:00.00" personId="{E690A490-159B-49EE-B5B4-979A2EDA95AE}" id="{E4BD97C7-398D-4F9B-BAA1-75119F1884FD}">
    <text>Sai do sai số cổ phiếu đang phát hành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99"/>
  <sheetViews>
    <sheetView tabSelected="1" zoomScale="86" workbookViewId="0">
      <selection activeCell="AA86" sqref="AA86:AA93"/>
    </sheetView>
  </sheetViews>
  <sheetFormatPr defaultColWidth="12.6328125" defaultRowHeight="14.5" x14ac:dyDescent="0.35"/>
  <cols>
    <col min="6" max="6" width="27" customWidth="1"/>
    <col min="8" max="8" width="23.1796875" customWidth="1"/>
    <col min="11" max="11" width="26.26953125" customWidth="1"/>
    <col min="12" max="12" width="23.7265625" customWidth="1"/>
    <col min="13" max="13" width="21" customWidth="1"/>
    <col min="14" max="14" width="19.453125" customWidth="1"/>
    <col min="15" max="15" width="23.6328125" customWidth="1"/>
    <col min="16" max="16" width="22.90625" customWidth="1"/>
    <col min="17" max="18" width="22.7265625" customWidth="1"/>
    <col min="19" max="19" width="22.36328125" customWidth="1"/>
    <col min="20" max="20" width="25" customWidth="1"/>
    <col min="21" max="21" width="16.26953125" customWidth="1"/>
    <col min="22" max="22" width="21.6328125" customWidth="1"/>
    <col min="23" max="23" width="19" customWidth="1"/>
    <col min="24" max="24" width="25.1796875" customWidth="1"/>
    <col min="25" max="25" width="51.08984375" customWidth="1"/>
    <col min="27" max="27" width="39.6328125" customWidth="1"/>
    <col min="29" max="29" width="22.36328125" customWidth="1"/>
    <col min="30" max="31" width="27.36328125" customWidth="1"/>
    <col min="32" max="32" width="29.453125" customWidth="1"/>
    <col min="33" max="33" width="25.6328125" customWidth="1"/>
    <col min="34" max="34" width="30.08984375" customWidth="1"/>
    <col min="35" max="35" width="19" customWidth="1"/>
    <col min="36" max="36" width="28.6328125" customWidth="1"/>
    <col min="37" max="37" width="25.26953125" customWidth="1"/>
    <col min="38" max="38" width="29.26953125" customWidth="1"/>
    <col min="39" max="39" width="23.08984375" customWidth="1"/>
    <col min="40" max="40" width="23.36328125" customWidth="1"/>
    <col min="41" max="41" width="37.36328125" customWidth="1"/>
    <col min="42" max="42" width="21.08984375" customWidth="1"/>
    <col min="43" max="43" width="18.81640625" customWidth="1"/>
    <col min="46" max="46" width="20.26953125" customWidth="1"/>
  </cols>
  <sheetData>
    <row r="1" spans="1:61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96</v>
      </c>
      <c r="I1" s="2" t="s">
        <v>7</v>
      </c>
      <c r="J1" s="3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5" t="s">
        <v>99</v>
      </c>
      <c r="Y1" s="51" t="s">
        <v>97</v>
      </c>
      <c r="Z1" s="5" t="s">
        <v>22</v>
      </c>
      <c r="AA1" s="59" t="s">
        <v>97</v>
      </c>
      <c r="AB1" s="5" t="s">
        <v>23</v>
      </c>
      <c r="AC1" s="4" t="s">
        <v>24</v>
      </c>
      <c r="AD1" s="4" t="s">
        <v>25</v>
      </c>
      <c r="AE1" s="59" t="s">
        <v>98</v>
      </c>
      <c r="AF1" s="3" t="s">
        <v>26</v>
      </c>
      <c r="AG1" s="4" t="s">
        <v>27</v>
      </c>
      <c r="AH1" s="6" t="s">
        <v>28</v>
      </c>
      <c r="AI1" s="6" t="s">
        <v>29</v>
      </c>
      <c r="AJ1" s="6" t="s">
        <v>30</v>
      </c>
      <c r="AK1" s="4" t="s">
        <v>31</v>
      </c>
      <c r="AL1" s="4" t="s">
        <v>32</v>
      </c>
      <c r="AM1" s="4" t="s">
        <v>33</v>
      </c>
      <c r="AN1" s="4" t="s">
        <v>34</v>
      </c>
      <c r="AO1" s="7" t="s">
        <v>35</v>
      </c>
      <c r="AP1" s="4" t="s">
        <v>36</v>
      </c>
      <c r="AQ1" s="3" t="s">
        <v>37</v>
      </c>
      <c r="AR1" s="3" t="s">
        <v>38</v>
      </c>
      <c r="AS1" s="8" t="s">
        <v>39</v>
      </c>
      <c r="AT1" s="4" t="s">
        <v>40</v>
      </c>
      <c r="AU1" s="8" t="s">
        <v>41</v>
      </c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</row>
    <row r="2" spans="1:61" ht="15.75" customHeight="1" x14ac:dyDescent="0.35">
      <c r="A2" s="9"/>
      <c r="B2" s="9"/>
      <c r="C2" s="9"/>
      <c r="D2" s="9"/>
      <c r="E2" s="9"/>
      <c r="F2" s="9" t="s">
        <v>42</v>
      </c>
      <c r="G2" s="9" t="s">
        <v>42</v>
      </c>
      <c r="H2" s="9" t="s">
        <v>42</v>
      </c>
      <c r="I2" s="9" t="s">
        <v>42</v>
      </c>
      <c r="J2" s="9" t="s">
        <v>43</v>
      </c>
      <c r="K2" s="9" t="s">
        <v>44</v>
      </c>
      <c r="L2" s="9" t="s">
        <v>44</v>
      </c>
      <c r="M2" s="9" t="s">
        <v>44</v>
      </c>
      <c r="N2" s="9" t="s">
        <v>44</v>
      </c>
      <c r="O2" s="9" t="s">
        <v>44</v>
      </c>
      <c r="P2" s="9" t="s">
        <v>44</v>
      </c>
      <c r="Q2" s="9" t="s">
        <v>44</v>
      </c>
      <c r="R2" s="9" t="s">
        <v>44</v>
      </c>
      <c r="S2" s="9" t="s">
        <v>44</v>
      </c>
      <c r="T2" s="9" t="s">
        <v>44</v>
      </c>
      <c r="U2" s="9" t="s">
        <v>44</v>
      </c>
      <c r="V2" s="9" t="s">
        <v>44</v>
      </c>
      <c r="W2" s="9" t="s">
        <v>44</v>
      </c>
      <c r="X2" s="9"/>
      <c r="Y2" s="52"/>
      <c r="Z2" s="9" t="s">
        <v>45</v>
      </c>
      <c r="AA2" s="60"/>
      <c r="AB2" s="9" t="s">
        <v>45</v>
      </c>
      <c r="AC2" s="9" t="s">
        <v>44</v>
      </c>
      <c r="AD2" s="9" t="s">
        <v>44</v>
      </c>
      <c r="AE2" s="60"/>
      <c r="AF2" s="9" t="s">
        <v>44</v>
      </c>
      <c r="AG2" s="9" t="s">
        <v>44</v>
      </c>
      <c r="AH2" s="9" t="s">
        <v>44</v>
      </c>
      <c r="AI2" s="9" t="s">
        <v>44</v>
      </c>
      <c r="AJ2" s="9" t="s">
        <v>44</v>
      </c>
      <c r="AK2" s="9" t="s">
        <v>44</v>
      </c>
      <c r="AL2" s="9" t="s">
        <v>44</v>
      </c>
      <c r="AM2" s="9" t="s">
        <v>44</v>
      </c>
      <c r="AN2" s="9" t="s">
        <v>44</v>
      </c>
      <c r="AO2" s="10" t="s">
        <v>46</v>
      </c>
      <c r="AP2" s="9" t="s">
        <v>44</v>
      </c>
      <c r="AQ2" s="9" t="s">
        <v>44</v>
      </c>
      <c r="AR2" s="9" t="s">
        <v>47</v>
      </c>
      <c r="AS2" s="9" t="s">
        <v>48</v>
      </c>
      <c r="AT2" s="9" t="s">
        <v>44</v>
      </c>
      <c r="AU2" s="9" t="s">
        <v>49</v>
      </c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</row>
    <row r="3" spans="1:61" ht="15.75" customHeight="1" x14ac:dyDescent="0.35">
      <c r="A3" s="11">
        <v>1</v>
      </c>
      <c r="B3" s="11" t="s">
        <v>50</v>
      </c>
      <c r="C3" s="12" t="s">
        <v>51</v>
      </c>
      <c r="D3" s="11">
        <v>2020</v>
      </c>
      <c r="E3" s="11"/>
      <c r="F3" s="13">
        <f>2.73/100</f>
        <v>2.7300000000000001E-2</v>
      </c>
      <c r="G3" s="14">
        <v>0</v>
      </c>
      <c r="H3" s="13">
        <v>0.32190000000000002</v>
      </c>
      <c r="I3" s="13">
        <v>7.7000000000000002E-3</v>
      </c>
      <c r="J3" s="15">
        <v>63044964</v>
      </c>
      <c r="K3" s="15">
        <v>688906778823</v>
      </c>
      <c r="L3" s="15">
        <v>688099141530</v>
      </c>
      <c r="M3" s="15">
        <v>1996448537835</v>
      </c>
      <c r="N3" s="15">
        <v>8064954136</v>
      </c>
      <c r="O3" s="16">
        <v>91783678590</v>
      </c>
      <c r="P3" s="16">
        <v>879961073</v>
      </c>
      <c r="Q3" s="16">
        <v>407052870451</v>
      </c>
      <c r="R3" s="15">
        <v>74783008927</v>
      </c>
      <c r="S3" s="16">
        <v>42770135220</v>
      </c>
      <c r="T3" s="17">
        <v>507854863815</v>
      </c>
      <c r="U3" s="17">
        <v>726314671</v>
      </c>
      <c r="V3" s="17">
        <v>327806102508</v>
      </c>
      <c r="W3" s="18">
        <v>599496719860</v>
      </c>
      <c r="X3" s="19" t="s">
        <v>52</v>
      </c>
      <c r="Y3" s="61" t="s">
        <v>100</v>
      </c>
      <c r="Z3" s="19">
        <v>1</v>
      </c>
      <c r="AA3" s="61" t="s">
        <v>101</v>
      </c>
      <c r="AB3" s="19">
        <v>1</v>
      </c>
      <c r="AC3" s="18">
        <v>58288240493</v>
      </c>
      <c r="AD3" s="18">
        <v>1322161674671</v>
      </c>
      <c r="AE3" s="68">
        <v>29893</v>
      </c>
      <c r="AF3" s="18">
        <v>1884603108852</v>
      </c>
      <c r="AG3" s="18">
        <v>674286863164</v>
      </c>
      <c r="AH3" s="17">
        <v>119204401875</v>
      </c>
      <c r="AI3" s="17">
        <v>44556364087</v>
      </c>
      <c r="AJ3" s="17">
        <v>-403099393129</v>
      </c>
      <c r="AK3" s="17">
        <v>367600627050</v>
      </c>
      <c r="AL3" s="17">
        <v>336219540186</v>
      </c>
      <c r="AM3" s="18">
        <v>1082104845821</v>
      </c>
      <c r="AN3" s="18">
        <v>338067322978</v>
      </c>
      <c r="AO3" s="20">
        <v>-0.2235</v>
      </c>
      <c r="AP3" s="17">
        <v>9006715540</v>
      </c>
      <c r="AQ3" s="17">
        <v>-77123245591</v>
      </c>
      <c r="AR3" s="17">
        <v>1361</v>
      </c>
      <c r="AS3" s="17">
        <v>1120</v>
      </c>
      <c r="AT3" s="17">
        <v>341407486237</v>
      </c>
      <c r="AU3" s="19">
        <v>10</v>
      </c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</row>
    <row r="4" spans="1:61" ht="15.75" customHeight="1" x14ac:dyDescent="0.35">
      <c r="A4" s="11">
        <v>1</v>
      </c>
      <c r="B4" s="11" t="s">
        <v>50</v>
      </c>
      <c r="C4" s="12" t="s">
        <v>51</v>
      </c>
      <c r="D4" s="11">
        <v>2021</v>
      </c>
      <c r="E4" s="11"/>
      <c r="F4" s="13">
        <v>2.69E-2</v>
      </c>
      <c r="G4" s="14">
        <v>0</v>
      </c>
      <c r="H4" s="13">
        <v>0.26989999999999997</v>
      </c>
      <c r="I4" s="13">
        <v>8.2000000000000007E-3</v>
      </c>
      <c r="J4" s="15">
        <v>75653891</v>
      </c>
      <c r="K4" s="15">
        <v>722200202004</v>
      </c>
      <c r="L4" s="15">
        <v>722200182004</v>
      </c>
      <c r="M4" s="15">
        <v>2140068443648</v>
      </c>
      <c r="N4" s="15">
        <v>5157685533</v>
      </c>
      <c r="O4" s="16">
        <v>103629284816</v>
      </c>
      <c r="P4" s="16">
        <v>670898529</v>
      </c>
      <c r="Q4" s="16">
        <v>428426565874</v>
      </c>
      <c r="R4" s="15">
        <v>59181149406</v>
      </c>
      <c r="S4" s="21">
        <v>55308902655</v>
      </c>
      <c r="T4" s="17">
        <v>546512881345</v>
      </c>
      <c r="U4" s="17">
        <v>562766370</v>
      </c>
      <c r="V4" s="17">
        <v>351248254501</v>
      </c>
      <c r="W4" s="18">
        <v>633168556109</v>
      </c>
      <c r="X4" s="19" t="s">
        <v>52</v>
      </c>
      <c r="Y4" s="53" t="s">
        <v>95</v>
      </c>
      <c r="Z4" s="19">
        <v>0</v>
      </c>
      <c r="AA4" s="61" t="s">
        <v>101</v>
      </c>
      <c r="AB4" s="19">
        <v>1</v>
      </c>
      <c r="AC4" s="18">
        <v>34944462203</v>
      </c>
      <c r="AD4" s="18">
        <v>1380881294925</v>
      </c>
      <c r="AE4" s="68">
        <v>26818</v>
      </c>
      <c r="AF4" s="18">
        <v>2028885048838</v>
      </c>
      <c r="AG4" s="18">
        <v>759187148723</v>
      </c>
      <c r="AH4" s="22">
        <v>70743835077</v>
      </c>
      <c r="AI4" s="17">
        <v>24454290310</v>
      </c>
      <c r="AJ4" s="17">
        <v>332469662408</v>
      </c>
      <c r="AK4" s="17">
        <v>137335598773</v>
      </c>
      <c r="AL4" s="17">
        <v>344278214507</v>
      </c>
      <c r="AM4" s="18">
        <v>631170606581</v>
      </c>
      <c r="AN4" s="18">
        <v>414908934216</v>
      </c>
      <c r="AO4" s="20">
        <v>0.05</v>
      </c>
      <c r="AP4" s="22">
        <v>14073821238</v>
      </c>
      <c r="AQ4" s="22">
        <v>-14713596708</v>
      </c>
      <c r="AR4" s="19">
        <v>794</v>
      </c>
      <c r="AS4" s="17">
        <v>1122</v>
      </c>
      <c r="AT4" s="17">
        <v>352629188712</v>
      </c>
      <c r="AU4" s="19">
        <v>11</v>
      </c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</row>
    <row r="5" spans="1:61" ht="15.75" customHeight="1" x14ac:dyDescent="0.35">
      <c r="A5" s="11">
        <v>1</v>
      </c>
      <c r="B5" s="11" t="s">
        <v>50</v>
      </c>
      <c r="C5" s="12" t="s">
        <v>51</v>
      </c>
      <c r="D5" s="11">
        <v>2022</v>
      </c>
      <c r="E5" s="11"/>
      <c r="F5" s="13">
        <v>9.4899999999999998E-2</v>
      </c>
      <c r="G5" s="14">
        <v>0</v>
      </c>
      <c r="H5" s="13">
        <v>0.27</v>
      </c>
      <c r="I5" s="13">
        <v>8.0000000000000002E-3</v>
      </c>
      <c r="J5" s="15">
        <v>75653891</v>
      </c>
      <c r="K5" s="15">
        <v>1979717131195</v>
      </c>
      <c r="L5" s="15">
        <v>1979509448075</v>
      </c>
      <c r="M5" s="15">
        <v>3030948819243</v>
      </c>
      <c r="N5" s="15">
        <v>8375215228</v>
      </c>
      <c r="O5" s="16">
        <v>196096380007</v>
      </c>
      <c r="P5" s="16">
        <v>37369570336</v>
      </c>
      <c r="Q5" s="16">
        <v>1240681424745</v>
      </c>
      <c r="R5" s="15">
        <v>202719446429</v>
      </c>
      <c r="S5" s="16">
        <v>251560530674</v>
      </c>
      <c r="T5" s="17">
        <v>1634586633382</v>
      </c>
      <c r="U5" s="17">
        <v>496208075</v>
      </c>
      <c r="V5" s="17">
        <v>1099193195729</v>
      </c>
      <c r="W5" s="18">
        <v>1797404058882</v>
      </c>
      <c r="X5" s="19" t="s">
        <v>52</v>
      </c>
      <c r="Y5" s="61" t="s">
        <v>100</v>
      </c>
      <c r="Z5" s="19">
        <v>1</v>
      </c>
      <c r="AA5" s="61" t="s">
        <v>101</v>
      </c>
      <c r="AB5" s="19">
        <v>1</v>
      </c>
      <c r="AC5" s="18">
        <v>152229508245</v>
      </c>
      <c r="AD5" s="18">
        <v>1824874332015</v>
      </c>
      <c r="AE5" s="68">
        <v>23455</v>
      </c>
      <c r="AF5" s="18">
        <v>1774462013405</v>
      </c>
      <c r="AG5" s="18">
        <v>1206074487228</v>
      </c>
      <c r="AH5" s="17">
        <v>237633659659</v>
      </c>
      <c r="AI5" s="17">
        <v>37853835633</v>
      </c>
      <c r="AJ5" s="17">
        <v>-221631724350</v>
      </c>
      <c r="AK5" s="17">
        <v>206721379127</v>
      </c>
      <c r="AL5" s="17">
        <v>606173852872</v>
      </c>
      <c r="AM5" s="18">
        <v>1737734525236</v>
      </c>
      <c r="AN5" s="18">
        <v>599900634356</v>
      </c>
      <c r="AO5" s="20">
        <v>1.7408999999999999</v>
      </c>
      <c r="AP5" s="17">
        <v>33761135694</v>
      </c>
      <c r="AQ5" s="17">
        <v>-5210159412</v>
      </c>
      <c r="AR5" s="17">
        <v>1191</v>
      </c>
      <c r="AS5" s="17">
        <v>1846</v>
      </c>
      <c r="AT5" s="17">
        <v>491443865546</v>
      </c>
      <c r="AU5" s="19">
        <v>12</v>
      </c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</row>
    <row r="6" spans="1:61" ht="15.75" customHeight="1" x14ac:dyDescent="0.35">
      <c r="A6" s="11">
        <v>1</v>
      </c>
      <c r="B6" s="11" t="s">
        <v>50</v>
      </c>
      <c r="C6" s="12" t="s">
        <v>51</v>
      </c>
      <c r="D6" s="11">
        <v>2023</v>
      </c>
      <c r="E6" s="11"/>
      <c r="F6" s="13">
        <v>9.4899999999999998E-2</v>
      </c>
      <c r="G6" s="14">
        <v>0</v>
      </c>
      <c r="H6" s="13">
        <v>0.27</v>
      </c>
      <c r="I6" s="13">
        <v>8.9999999999999993E-3</v>
      </c>
      <c r="J6" s="15">
        <v>75653892</v>
      </c>
      <c r="K6" s="15">
        <v>1920320196629</v>
      </c>
      <c r="L6" s="15">
        <v>1919850676354</v>
      </c>
      <c r="M6" s="15">
        <v>3050110829236</v>
      </c>
      <c r="N6" s="15">
        <v>12371818100</v>
      </c>
      <c r="O6" s="16">
        <v>172996951025</v>
      </c>
      <c r="P6" s="16">
        <v>35770959973</v>
      </c>
      <c r="Q6" s="16">
        <v>1240300590920</v>
      </c>
      <c r="R6" s="15">
        <v>56126791603</v>
      </c>
      <c r="S6" s="16">
        <v>294161336177</v>
      </c>
      <c r="T6" s="17">
        <v>1669699756561</v>
      </c>
      <c r="U6" s="17">
        <v>115792496</v>
      </c>
      <c r="V6" s="17">
        <v>1061571323516</v>
      </c>
      <c r="W6" s="18">
        <v>1861863263278</v>
      </c>
      <c r="X6" s="19" t="s">
        <v>52</v>
      </c>
      <c r="Y6" s="61" t="s">
        <v>100</v>
      </c>
      <c r="Z6" s="19">
        <v>1</v>
      </c>
      <c r="AA6" s="61" t="s">
        <v>101</v>
      </c>
      <c r="AB6" s="19">
        <v>1</v>
      </c>
      <c r="AC6" s="18">
        <v>27024912994</v>
      </c>
      <c r="AD6" s="18">
        <v>1850405703213</v>
      </c>
      <c r="AE6" s="68">
        <v>19500</v>
      </c>
      <c r="AF6" s="18">
        <v>1475250894000</v>
      </c>
      <c r="AG6" s="18">
        <v>1203303714362</v>
      </c>
      <c r="AH6" s="17">
        <v>148667512428</v>
      </c>
      <c r="AI6" s="17">
        <v>83456882805</v>
      </c>
      <c r="AJ6" s="17">
        <v>-124298428749</v>
      </c>
      <c r="AK6" s="17">
        <v>165727939365</v>
      </c>
      <c r="AL6" s="17">
        <v>531204749942</v>
      </c>
      <c r="AM6" s="18">
        <v>1734850620405</v>
      </c>
      <c r="AN6" s="18">
        <v>668500376081</v>
      </c>
      <c r="AO6" s="20">
        <v>-3.0099999999999998E-2</v>
      </c>
      <c r="AP6" s="17">
        <v>32534813939</v>
      </c>
      <c r="AQ6" s="17">
        <v>-30457392950</v>
      </c>
      <c r="AR6" s="19">
        <v>53</v>
      </c>
      <c r="AS6" s="17">
        <v>1887</v>
      </c>
      <c r="AT6" s="17">
        <v>424545631587</v>
      </c>
      <c r="AU6" s="19">
        <v>13</v>
      </c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</row>
    <row r="7" spans="1:61" ht="15.75" customHeight="1" x14ac:dyDescent="0.35">
      <c r="A7" s="11">
        <v>1</v>
      </c>
      <c r="B7" s="11" t="s">
        <v>50</v>
      </c>
      <c r="C7" s="12" t="s">
        <v>51</v>
      </c>
      <c r="D7" s="11">
        <v>2024</v>
      </c>
      <c r="E7" s="11"/>
      <c r="F7" s="13">
        <v>9.4899999999999998E-2</v>
      </c>
      <c r="G7" s="14">
        <v>0</v>
      </c>
      <c r="H7" s="13">
        <v>0.28000000000000003</v>
      </c>
      <c r="I7" s="13">
        <v>0.01</v>
      </c>
      <c r="J7" s="15">
        <v>90784669</v>
      </c>
      <c r="K7" s="15">
        <v>1916030791310</v>
      </c>
      <c r="L7" s="15">
        <v>1915534107117</v>
      </c>
      <c r="M7" s="15">
        <v>3270895843935</v>
      </c>
      <c r="N7" s="15">
        <v>17502190415</v>
      </c>
      <c r="O7" s="16">
        <v>198945681685</v>
      </c>
      <c r="P7" s="16">
        <v>34204039077</v>
      </c>
      <c r="Q7" s="16">
        <v>1202059321826</v>
      </c>
      <c r="R7" s="15">
        <v>78856936849</v>
      </c>
      <c r="S7" s="16">
        <v>257534919937</v>
      </c>
      <c r="T7" s="17">
        <v>1606063463539</v>
      </c>
      <c r="U7" s="17">
        <v>103498116</v>
      </c>
      <c r="V7" s="17">
        <v>1019175980088</v>
      </c>
      <c r="W7" s="18">
        <v>1835403866910</v>
      </c>
      <c r="X7" s="19" t="s">
        <v>52</v>
      </c>
      <c r="Y7" s="61" t="s">
        <v>100</v>
      </c>
      <c r="Z7" s="19">
        <v>1</v>
      </c>
      <c r="AA7" s="61" t="s">
        <v>101</v>
      </c>
      <c r="AB7" s="19">
        <v>1</v>
      </c>
      <c r="AC7" s="18">
        <v>53484630469</v>
      </c>
      <c r="AD7" s="18">
        <v>2031949831357</v>
      </c>
      <c r="AE7" s="68">
        <v>18300</v>
      </c>
      <c r="AF7" s="18">
        <v>1661359442700</v>
      </c>
      <c r="AG7" s="18">
        <v>1238946012578</v>
      </c>
      <c r="AH7" s="17">
        <v>144519990331</v>
      </c>
      <c r="AI7" s="17">
        <v>314088744676</v>
      </c>
      <c r="AJ7" s="17">
        <v>-200630468048</v>
      </c>
      <c r="AK7" s="17">
        <v>275925813537</v>
      </c>
      <c r="AL7" s="17">
        <v>261373815710</v>
      </c>
      <c r="AM7" s="18">
        <v>1759006493907</v>
      </c>
      <c r="AN7" s="18">
        <v>977572196868</v>
      </c>
      <c r="AO7" s="20">
        <v>-2.2000000000000001E-3</v>
      </c>
      <c r="AP7" s="17">
        <v>28049976271</v>
      </c>
      <c r="AQ7" s="17">
        <v>-20115169028</v>
      </c>
      <c r="AR7" s="19">
        <v>319</v>
      </c>
      <c r="AS7" s="17">
        <v>2000</v>
      </c>
      <c r="AT7" s="17">
        <v>418982455811</v>
      </c>
      <c r="AU7" s="19">
        <v>14</v>
      </c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</row>
    <row r="8" spans="1:61" ht="15.75" customHeight="1" x14ac:dyDescent="0.35">
      <c r="A8" s="23">
        <v>2</v>
      </c>
      <c r="B8" s="23" t="s">
        <v>53</v>
      </c>
      <c r="C8" s="24" t="s">
        <v>54</v>
      </c>
      <c r="D8" s="23">
        <v>2020</v>
      </c>
      <c r="E8" s="23"/>
      <c r="F8" s="25">
        <v>0.1676</v>
      </c>
      <c r="G8" s="25">
        <v>0</v>
      </c>
      <c r="H8" s="25">
        <v>0.23119999999999999</v>
      </c>
      <c r="I8" s="25">
        <v>0.14149999999999999</v>
      </c>
      <c r="J8" s="26">
        <v>30408751</v>
      </c>
      <c r="K8" s="26">
        <v>1436523157972</v>
      </c>
      <c r="L8" s="26">
        <v>1424587442141</v>
      </c>
      <c r="M8" s="26">
        <v>1492667751503</v>
      </c>
      <c r="N8" s="26">
        <v>40090530359</v>
      </c>
      <c r="O8" s="26">
        <v>36499701360</v>
      </c>
      <c r="P8" s="26">
        <v>622691371</v>
      </c>
      <c r="Q8" s="26">
        <v>131247467355</v>
      </c>
      <c r="R8" s="26">
        <v>71495487102</v>
      </c>
      <c r="S8" s="26">
        <v>1218247881713</v>
      </c>
      <c r="T8" s="26">
        <v>1264121655973</v>
      </c>
      <c r="U8" s="27">
        <v>0</v>
      </c>
      <c r="V8" s="26">
        <v>62718329567</v>
      </c>
      <c r="W8" s="26">
        <v>1455930028350</v>
      </c>
      <c r="X8" s="27" t="s">
        <v>52</v>
      </c>
      <c r="Y8" s="61" t="s">
        <v>100</v>
      </c>
      <c r="Z8" s="27">
        <v>1</v>
      </c>
      <c r="AA8" s="61" t="s">
        <v>101</v>
      </c>
      <c r="AB8" s="27">
        <v>1</v>
      </c>
      <c r="AC8" s="26">
        <v>60144726812</v>
      </c>
      <c r="AD8" s="26">
        <v>557694103349</v>
      </c>
      <c r="AE8" s="69">
        <v>14245</v>
      </c>
      <c r="AF8" s="27">
        <v>433172657995</v>
      </c>
      <c r="AG8" s="26">
        <v>934973648154</v>
      </c>
      <c r="AH8" s="26">
        <v>-12819108901</v>
      </c>
      <c r="AI8" s="27">
        <v>91264043533</v>
      </c>
      <c r="AJ8" s="26">
        <v>-139270387112</v>
      </c>
      <c r="AK8" s="26">
        <v>6282632017</v>
      </c>
      <c r="AL8" s="26">
        <v>32282292722</v>
      </c>
      <c r="AM8" s="26">
        <v>929797165097</v>
      </c>
      <c r="AN8" s="26">
        <v>902691355432</v>
      </c>
      <c r="AO8" s="28">
        <v>0.49919999999999998</v>
      </c>
      <c r="AP8" s="26">
        <v>602350615573</v>
      </c>
      <c r="AQ8" s="27">
        <v>0</v>
      </c>
      <c r="AR8" s="26">
        <v>1767</v>
      </c>
      <c r="AS8" s="27">
        <v>1103</v>
      </c>
      <c r="AT8" s="26">
        <v>309696604199</v>
      </c>
      <c r="AU8" s="27">
        <v>15</v>
      </c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</row>
    <row r="9" spans="1:61" ht="15.75" customHeight="1" x14ac:dyDescent="0.35">
      <c r="A9" s="23">
        <v>2</v>
      </c>
      <c r="B9" s="23" t="s">
        <v>53</v>
      </c>
      <c r="C9" s="24" t="s">
        <v>54</v>
      </c>
      <c r="D9" s="23">
        <v>2021</v>
      </c>
      <c r="E9" s="23"/>
      <c r="F9" s="25">
        <v>0.2477</v>
      </c>
      <c r="G9" s="25">
        <v>0</v>
      </c>
      <c r="H9" s="25">
        <v>1.5E-3</v>
      </c>
      <c r="I9" s="25">
        <v>7.7899999999999997E-2</v>
      </c>
      <c r="J9" s="26">
        <v>90817502</v>
      </c>
      <c r="K9" s="26">
        <v>2097799555425</v>
      </c>
      <c r="L9" s="26">
        <v>2093645423310</v>
      </c>
      <c r="M9" s="26">
        <v>2421584295083</v>
      </c>
      <c r="N9" s="26">
        <v>91920420442</v>
      </c>
      <c r="O9" s="26">
        <v>59129213296</v>
      </c>
      <c r="P9" s="26">
        <v>385702691</v>
      </c>
      <c r="Q9" s="26">
        <v>563589315340</v>
      </c>
      <c r="R9" s="26">
        <v>95487793578</v>
      </c>
      <c r="S9" s="26">
        <v>1826997321026</v>
      </c>
      <c r="T9" s="26">
        <v>2046374368813</v>
      </c>
      <c r="U9" s="27">
        <v>0</v>
      </c>
      <c r="V9" s="26">
        <v>100284010526</v>
      </c>
      <c r="W9" s="26">
        <v>2198251947193</v>
      </c>
      <c r="X9" s="27" t="s">
        <v>52</v>
      </c>
      <c r="Y9" s="61" t="s">
        <v>100</v>
      </c>
      <c r="Z9" s="27">
        <v>1</v>
      </c>
      <c r="AA9" s="61" t="s">
        <v>101</v>
      </c>
      <c r="AB9" s="27">
        <v>1</v>
      </c>
      <c r="AC9" s="26">
        <v>83524189680</v>
      </c>
      <c r="AD9" s="26">
        <v>1296155803029</v>
      </c>
      <c r="AE9" s="69">
        <v>17398</v>
      </c>
      <c r="AF9" s="27">
        <v>1580042899796</v>
      </c>
      <c r="AG9" s="26">
        <v>1125428492054</v>
      </c>
      <c r="AH9" s="26">
        <v>-357450015123</v>
      </c>
      <c r="AI9" s="26">
        <v>18116093404</v>
      </c>
      <c r="AJ9" s="26">
        <v>-421040683620</v>
      </c>
      <c r="AK9" s="26">
        <v>26838603731</v>
      </c>
      <c r="AL9" s="26">
        <v>228879731428</v>
      </c>
      <c r="AM9" s="26">
        <v>1729566028845</v>
      </c>
      <c r="AN9" s="26">
        <v>896548760626</v>
      </c>
      <c r="AO9" s="28">
        <v>0.46029999999999999</v>
      </c>
      <c r="AP9" s="26">
        <v>862499021642</v>
      </c>
      <c r="AQ9" s="27">
        <v>0</v>
      </c>
      <c r="AR9" s="26">
        <v>1595</v>
      </c>
      <c r="AS9" s="27">
        <v>1308</v>
      </c>
      <c r="AT9" s="26">
        <v>311601602514</v>
      </c>
      <c r="AU9" s="27">
        <v>16</v>
      </c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</row>
    <row r="10" spans="1:61" ht="15.75" customHeight="1" x14ac:dyDescent="0.35">
      <c r="A10" s="23">
        <v>2</v>
      </c>
      <c r="B10" s="23" t="s">
        <v>53</v>
      </c>
      <c r="C10" s="24" t="s">
        <v>54</v>
      </c>
      <c r="D10" s="23">
        <v>2022</v>
      </c>
      <c r="E10" s="23"/>
      <c r="F10" s="25">
        <v>0.221</v>
      </c>
      <c r="G10" s="25">
        <v>0</v>
      </c>
      <c r="H10" s="25">
        <v>3.5000000000000001E-3</v>
      </c>
      <c r="I10" s="25">
        <v>0.104</v>
      </c>
      <c r="J10" s="26">
        <v>101898990</v>
      </c>
      <c r="K10" s="26">
        <v>2436532788881</v>
      </c>
      <c r="L10" s="26">
        <v>2414196041924</v>
      </c>
      <c r="M10" s="26">
        <v>2214198778090</v>
      </c>
      <c r="N10" s="26">
        <v>111426328326</v>
      </c>
      <c r="O10" s="26">
        <v>49259484239</v>
      </c>
      <c r="P10" s="26">
        <v>45122855930</v>
      </c>
      <c r="Q10" s="26">
        <v>284504689809</v>
      </c>
      <c r="R10" s="26">
        <v>121090513773</v>
      </c>
      <c r="S10" s="26">
        <v>1997467018657</v>
      </c>
      <c r="T10" s="26">
        <v>2661333930415</v>
      </c>
      <c r="U10" s="27">
        <v>0</v>
      </c>
      <c r="V10" s="26">
        <v>150824169682</v>
      </c>
      <c r="W10" s="26">
        <v>2426684913030</v>
      </c>
      <c r="X10" s="27" t="s">
        <v>52</v>
      </c>
      <c r="Y10" s="61" t="s">
        <v>100</v>
      </c>
      <c r="Z10" s="27">
        <v>0</v>
      </c>
      <c r="AA10" s="61" t="s">
        <v>101</v>
      </c>
      <c r="AB10" s="27">
        <v>1</v>
      </c>
      <c r="AC10" s="26">
        <v>106910789119</v>
      </c>
      <c r="AD10" s="26">
        <v>966080670007</v>
      </c>
      <c r="AE10" s="69">
        <v>7600</v>
      </c>
      <c r="AF10" s="27">
        <v>774432324000</v>
      </c>
      <c r="AG10" s="26">
        <v>1248118108083</v>
      </c>
      <c r="AH10" s="26">
        <v>-253685178828</v>
      </c>
      <c r="AI10" s="26">
        <v>65474704434</v>
      </c>
      <c r="AJ10" s="26">
        <v>-70453046900</v>
      </c>
      <c r="AK10" s="26">
        <v>5836426850</v>
      </c>
      <c r="AL10" s="26">
        <v>23905865957</v>
      </c>
      <c r="AM10" s="26">
        <v>1668492641964</v>
      </c>
      <c r="AN10" s="26">
        <v>1224212242126</v>
      </c>
      <c r="AO10" s="28">
        <v>0.1615</v>
      </c>
      <c r="AP10" s="26">
        <v>880294246884</v>
      </c>
      <c r="AQ10" s="27">
        <v>0</v>
      </c>
      <c r="AR10" s="26">
        <v>1700</v>
      </c>
      <c r="AS10" s="27">
        <v>1335</v>
      </c>
      <c r="AT10" s="26">
        <v>299411590456</v>
      </c>
      <c r="AU10" s="27">
        <v>17</v>
      </c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</row>
    <row r="11" spans="1:61" ht="15.75" customHeight="1" x14ac:dyDescent="0.35">
      <c r="A11" s="23">
        <v>2</v>
      </c>
      <c r="B11" s="23" t="s">
        <v>53</v>
      </c>
      <c r="C11" s="24" t="s">
        <v>54</v>
      </c>
      <c r="D11" s="23">
        <v>2023</v>
      </c>
      <c r="E11" s="23"/>
      <c r="F11" s="25">
        <v>0.22120000000000001</v>
      </c>
      <c r="G11" s="25">
        <v>0</v>
      </c>
      <c r="H11" s="25">
        <v>4.0000000000000001E-3</v>
      </c>
      <c r="I11" s="25">
        <v>0.15329999999999999</v>
      </c>
      <c r="J11" s="26">
        <v>101898990</v>
      </c>
      <c r="K11" s="26">
        <v>2047751677931</v>
      </c>
      <c r="L11" s="26">
        <v>2040090385409</v>
      </c>
      <c r="M11" s="26">
        <v>3425762286441</v>
      </c>
      <c r="N11" s="26">
        <v>56003672813</v>
      </c>
      <c r="O11" s="26">
        <v>77603350580</v>
      </c>
      <c r="P11" s="26">
        <v>45877231677</v>
      </c>
      <c r="Q11" s="26">
        <v>216523448655</v>
      </c>
      <c r="R11" s="26">
        <v>91972113886</v>
      </c>
      <c r="S11" s="26">
        <v>1396066617629</v>
      </c>
      <c r="T11" s="26">
        <v>2119829943444</v>
      </c>
      <c r="U11" s="27">
        <v>0</v>
      </c>
      <c r="V11" s="26">
        <v>74098750398</v>
      </c>
      <c r="W11" s="26">
        <v>1754519518509</v>
      </c>
      <c r="X11" s="27" t="s">
        <v>52</v>
      </c>
      <c r="Y11" s="61" t="s">
        <v>100</v>
      </c>
      <c r="Z11" s="27">
        <v>1</v>
      </c>
      <c r="AA11" s="61" t="s">
        <v>101</v>
      </c>
      <c r="AB11" s="27">
        <v>1</v>
      </c>
      <c r="AC11" s="26">
        <v>66951557093</v>
      </c>
      <c r="AD11" s="26">
        <v>1494173405456</v>
      </c>
      <c r="AE11" s="69">
        <v>8720</v>
      </c>
      <c r="AF11" s="27">
        <v>888559192800</v>
      </c>
      <c r="AG11" s="26">
        <v>1931588880986</v>
      </c>
      <c r="AH11" s="26">
        <v>-121965721793</v>
      </c>
      <c r="AI11" s="26">
        <v>327427071074</v>
      </c>
      <c r="AJ11" s="26">
        <v>-341826914310</v>
      </c>
      <c r="AK11" s="26">
        <v>32030449594</v>
      </c>
      <c r="AL11" s="26">
        <v>356364311109</v>
      </c>
      <c r="AM11" s="26">
        <v>2104402139704</v>
      </c>
      <c r="AN11" s="26">
        <v>1575224569877</v>
      </c>
      <c r="AO11" s="28">
        <v>-0.15959999999999999</v>
      </c>
      <c r="AP11" s="26">
        <v>1333202618493</v>
      </c>
      <c r="AQ11" s="27">
        <v>0</v>
      </c>
      <c r="AR11" s="27">
        <v>479</v>
      </c>
      <c r="AS11" s="27">
        <v>1482</v>
      </c>
      <c r="AT11" s="26">
        <v>405442357203</v>
      </c>
      <c r="AU11" s="27">
        <v>18</v>
      </c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</row>
    <row r="12" spans="1:61" ht="46.5" x14ac:dyDescent="0.35">
      <c r="A12" s="23">
        <v>2</v>
      </c>
      <c r="B12" s="23" t="s">
        <v>53</v>
      </c>
      <c r="C12" s="24" t="s">
        <v>54</v>
      </c>
      <c r="D12" s="23">
        <v>2024</v>
      </c>
      <c r="E12" s="23"/>
      <c r="F12" s="25">
        <v>0.22090000000000001</v>
      </c>
      <c r="G12" s="25">
        <v>0</v>
      </c>
      <c r="H12" s="25">
        <v>3.5999999999999999E-3</v>
      </c>
      <c r="I12" s="25">
        <v>0.1736</v>
      </c>
      <c r="J12" s="26">
        <v>101898990</v>
      </c>
      <c r="K12" s="26">
        <v>2981374735211</v>
      </c>
      <c r="L12" s="26">
        <v>2980878052706</v>
      </c>
      <c r="M12" s="26">
        <v>3716531565479</v>
      </c>
      <c r="N12" s="26">
        <v>103385870567</v>
      </c>
      <c r="O12" s="26">
        <v>95298182923</v>
      </c>
      <c r="P12" s="26">
        <v>45058329484</v>
      </c>
      <c r="Q12" s="26">
        <v>324336002924</v>
      </c>
      <c r="R12" s="26">
        <v>66079755115</v>
      </c>
      <c r="S12" s="26">
        <v>1325095932743</v>
      </c>
      <c r="T12" s="26">
        <v>2878876995780</v>
      </c>
      <c r="U12" s="27">
        <v>0</v>
      </c>
      <c r="V12" s="26">
        <v>127556482481</v>
      </c>
      <c r="W12" s="26">
        <v>1843298634908</v>
      </c>
      <c r="X12" s="27" t="s">
        <v>52</v>
      </c>
      <c r="Y12" s="61" t="s">
        <v>100</v>
      </c>
      <c r="Z12" s="27">
        <v>1</v>
      </c>
      <c r="AA12" s="61" t="s">
        <v>101</v>
      </c>
      <c r="AB12" s="27">
        <v>1</v>
      </c>
      <c r="AC12" s="26">
        <v>66249584615</v>
      </c>
      <c r="AD12" s="26">
        <v>1663361200340</v>
      </c>
      <c r="AE12" s="69">
        <v>7870</v>
      </c>
      <c r="AF12" s="27">
        <v>801945051300</v>
      </c>
      <c r="AG12" s="26">
        <v>2053170365139</v>
      </c>
      <c r="AH12" s="26">
        <v>-56207241500</v>
      </c>
      <c r="AI12" s="26">
        <v>56833645612</v>
      </c>
      <c r="AJ12" s="26">
        <v>-123737594742</v>
      </c>
      <c r="AK12" s="26">
        <v>166150844088</v>
      </c>
      <c r="AL12" s="26">
        <v>814807609194</v>
      </c>
      <c r="AM12" s="26">
        <v>2675381107467</v>
      </c>
      <c r="AN12" s="26">
        <v>1238362755945</v>
      </c>
      <c r="AO12" s="28">
        <v>0.45590000000000003</v>
      </c>
      <c r="AP12" s="26">
        <v>1588902235881</v>
      </c>
      <c r="AQ12" s="27">
        <v>0</v>
      </c>
      <c r="AR12" s="27">
        <v>549</v>
      </c>
      <c r="AS12" s="27">
        <v>1506</v>
      </c>
      <c r="AT12" s="26">
        <v>360850127445</v>
      </c>
      <c r="AU12" s="27">
        <v>19</v>
      </c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</row>
    <row r="13" spans="1:61" ht="31" x14ac:dyDescent="0.35">
      <c r="A13" s="11">
        <v>3</v>
      </c>
      <c r="B13" s="11" t="s">
        <v>55</v>
      </c>
      <c r="C13" s="12" t="s">
        <v>56</v>
      </c>
      <c r="D13" s="11">
        <v>2020</v>
      </c>
      <c r="E13" s="11"/>
      <c r="F13" s="20">
        <v>0.19689999999999999</v>
      </c>
      <c r="G13" s="20">
        <v>0</v>
      </c>
      <c r="H13" s="20">
        <v>4.7000000000000002E-3</v>
      </c>
      <c r="I13" s="20">
        <v>0.47510000000000002</v>
      </c>
      <c r="J13" s="16">
        <v>38047973</v>
      </c>
      <c r="K13" s="16">
        <v>855774884323</v>
      </c>
      <c r="L13" s="16">
        <v>855358212133</v>
      </c>
      <c r="M13" s="16">
        <v>1353033082102</v>
      </c>
      <c r="N13" s="16">
        <v>140601585345</v>
      </c>
      <c r="O13" s="16">
        <v>94276086698</v>
      </c>
      <c r="P13" s="16">
        <v>4466411834</v>
      </c>
      <c r="Q13" s="16">
        <v>139585141520</v>
      </c>
      <c r="R13" s="16">
        <v>57228571967</v>
      </c>
      <c r="S13" s="16">
        <v>443890777612</v>
      </c>
      <c r="T13" s="16">
        <v>534919032666</v>
      </c>
      <c r="U13" s="16">
        <v>0</v>
      </c>
      <c r="V13" s="16">
        <v>45932443354</v>
      </c>
      <c r="W13" s="16">
        <v>792277830816</v>
      </c>
      <c r="X13" s="11" t="s">
        <v>52</v>
      </c>
      <c r="Y13" s="55" t="s">
        <v>95</v>
      </c>
      <c r="Z13" s="11">
        <v>0</v>
      </c>
      <c r="AA13" s="63" t="s">
        <v>95</v>
      </c>
      <c r="AB13" s="11">
        <v>0</v>
      </c>
      <c r="AC13" s="16">
        <v>42056931119</v>
      </c>
      <c r="AD13" s="16">
        <v>944327202905</v>
      </c>
      <c r="AE13" s="70">
        <v>9615</v>
      </c>
      <c r="AF13" s="16">
        <v>365831260395</v>
      </c>
      <c r="AG13" s="16">
        <v>408705879197</v>
      </c>
      <c r="AH13" s="16">
        <v>158304173133</v>
      </c>
      <c r="AI13" s="16">
        <v>6721546973</v>
      </c>
      <c r="AJ13" s="16">
        <v>31383857780</v>
      </c>
      <c r="AK13" s="16">
        <v>51427020485</v>
      </c>
      <c r="AL13" s="16">
        <v>255539098242</v>
      </c>
      <c r="AM13" s="16">
        <v>1087289632776.0001</v>
      </c>
      <c r="AN13" s="16">
        <v>153166780955</v>
      </c>
      <c r="AO13" s="29">
        <v>-0.14799999999999999</v>
      </c>
      <c r="AP13" s="16">
        <v>339496885104</v>
      </c>
      <c r="AQ13" s="16">
        <v>-34022914605</v>
      </c>
      <c r="AR13" s="16">
        <v>1105</v>
      </c>
      <c r="AS13" s="16">
        <v>1495</v>
      </c>
      <c r="AT13" s="16">
        <v>201705006975</v>
      </c>
      <c r="AU13" s="11">
        <v>28</v>
      </c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</row>
    <row r="14" spans="1:61" ht="33" x14ac:dyDescent="0.35">
      <c r="A14" s="11">
        <v>3</v>
      </c>
      <c r="B14" s="11" t="s">
        <v>55</v>
      </c>
      <c r="C14" s="12" t="s">
        <v>56</v>
      </c>
      <c r="D14" s="11">
        <v>2021</v>
      </c>
      <c r="E14" s="11"/>
      <c r="F14" s="20">
        <v>0.21249999999999999</v>
      </c>
      <c r="G14" s="20">
        <v>0</v>
      </c>
      <c r="H14" s="20">
        <v>2.0999999999999999E-3</v>
      </c>
      <c r="I14" s="20">
        <v>0.49309999999999998</v>
      </c>
      <c r="J14" s="16">
        <v>41091589</v>
      </c>
      <c r="K14" s="16">
        <v>866451098588</v>
      </c>
      <c r="L14" s="16">
        <v>865947301217</v>
      </c>
      <c r="M14" s="16">
        <v>1268743492740</v>
      </c>
      <c r="N14" s="16">
        <v>150461607802</v>
      </c>
      <c r="O14" s="16">
        <v>85058370307</v>
      </c>
      <c r="P14" s="16">
        <v>2829707011</v>
      </c>
      <c r="Q14" s="16">
        <v>137289662063</v>
      </c>
      <c r="R14" s="16">
        <v>73853793364</v>
      </c>
      <c r="S14" s="16">
        <v>450467326222</v>
      </c>
      <c r="T14" s="16">
        <v>577769511180</v>
      </c>
      <c r="U14" s="16">
        <v>0</v>
      </c>
      <c r="V14" s="16">
        <v>55275776407</v>
      </c>
      <c r="W14" s="16">
        <v>799579329307</v>
      </c>
      <c r="X14" s="11" t="s">
        <v>52</v>
      </c>
      <c r="Y14" s="61" t="s">
        <v>100</v>
      </c>
      <c r="Z14" s="11">
        <v>1</v>
      </c>
      <c r="AA14" s="61" t="s">
        <v>101</v>
      </c>
      <c r="AB14" s="11">
        <v>1</v>
      </c>
      <c r="AC14" s="16">
        <v>59720671255</v>
      </c>
      <c r="AD14" s="16">
        <v>964036237978</v>
      </c>
      <c r="AE14" s="70">
        <v>14343</v>
      </c>
      <c r="AF14" s="16">
        <v>589376661027</v>
      </c>
      <c r="AG14" s="16">
        <v>304707254762</v>
      </c>
      <c r="AH14" s="16">
        <v>-52570256707</v>
      </c>
      <c r="AI14" s="16">
        <v>75190215400</v>
      </c>
      <c r="AJ14" s="16">
        <v>215347905714</v>
      </c>
      <c r="AK14" s="16">
        <v>52162065411</v>
      </c>
      <c r="AL14" s="16">
        <v>32783914430</v>
      </c>
      <c r="AM14" s="16">
        <v>965611047552</v>
      </c>
      <c r="AN14" s="16">
        <v>271923340332</v>
      </c>
      <c r="AO14" s="29">
        <v>1.2E-2</v>
      </c>
      <c r="AP14" s="16">
        <v>346527464417</v>
      </c>
      <c r="AQ14" s="16">
        <v>-37991437250</v>
      </c>
      <c r="AR14" s="16">
        <v>1570</v>
      </c>
      <c r="AS14" s="16">
        <v>1212</v>
      </c>
      <c r="AT14" s="16">
        <v>186722125438</v>
      </c>
      <c r="AU14" s="11">
        <v>29</v>
      </c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</row>
    <row r="15" spans="1:61" ht="33" x14ac:dyDescent="0.35">
      <c r="A15" s="11">
        <v>3</v>
      </c>
      <c r="B15" s="11" t="s">
        <v>55</v>
      </c>
      <c r="C15" s="12" t="s">
        <v>56</v>
      </c>
      <c r="D15" s="11">
        <v>2022</v>
      </c>
      <c r="E15" s="11"/>
      <c r="F15" s="20">
        <v>0.217</v>
      </c>
      <c r="G15" s="20">
        <v>0</v>
      </c>
      <c r="H15" s="20">
        <v>1.78E-2</v>
      </c>
      <c r="I15" s="20">
        <v>0.53369999999999995</v>
      </c>
      <c r="J15" s="16">
        <v>41979773</v>
      </c>
      <c r="K15" s="16">
        <v>1021675009233</v>
      </c>
      <c r="L15" s="16">
        <v>1021248518188</v>
      </c>
      <c r="M15" s="16">
        <v>1456695376147</v>
      </c>
      <c r="N15" s="16">
        <v>173296409898</v>
      </c>
      <c r="O15" s="16">
        <v>88027974504</v>
      </c>
      <c r="P15" s="16">
        <v>1255755198</v>
      </c>
      <c r="Q15" s="16">
        <v>153031823079</v>
      </c>
      <c r="R15" s="16">
        <v>114812681768</v>
      </c>
      <c r="S15" s="16">
        <v>562031924801</v>
      </c>
      <c r="T15" s="16">
        <v>654690345841</v>
      </c>
      <c r="U15" s="16">
        <v>0</v>
      </c>
      <c r="V15" s="16">
        <v>89883133370</v>
      </c>
      <c r="W15" s="16">
        <v>930628670438</v>
      </c>
      <c r="X15" s="11" t="s">
        <v>52</v>
      </c>
      <c r="Y15" s="61" t="s">
        <v>100</v>
      </c>
      <c r="Z15" s="11">
        <v>1</v>
      </c>
      <c r="AA15" s="61" t="s">
        <v>101</v>
      </c>
      <c r="AB15" s="11">
        <v>1</v>
      </c>
      <c r="AC15" s="16">
        <v>91829420972</v>
      </c>
      <c r="AD15" s="16">
        <v>1027841202886</v>
      </c>
      <c r="AE15" s="70">
        <v>12315</v>
      </c>
      <c r="AF15" s="16">
        <v>516980904495</v>
      </c>
      <c r="AG15" s="16">
        <v>428854173261</v>
      </c>
      <c r="AH15" s="16">
        <v>85259858422</v>
      </c>
      <c r="AI15" s="16">
        <v>152158012141</v>
      </c>
      <c r="AJ15" s="16">
        <v>-182273579881</v>
      </c>
      <c r="AK15" s="16">
        <v>54780353092</v>
      </c>
      <c r="AL15" s="16">
        <v>116841140481</v>
      </c>
      <c r="AM15" s="16">
        <v>1055145769022</v>
      </c>
      <c r="AN15" s="16">
        <v>312013032780</v>
      </c>
      <c r="AO15" s="29">
        <v>0.18</v>
      </c>
      <c r="AP15" s="16">
        <v>364153052782</v>
      </c>
      <c r="AQ15" s="16">
        <v>-41083124500</v>
      </c>
      <c r="AR15" s="16">
        <v>2215</v>
      </c>
      <c r="AS15" s="16">
        <v>1206</v>
      </c>
      <c r="AT15" s="16">
        <v>164253763180</v>
      </c>
      <c r="AU15" s="11">
        <v>30</v>
      </c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</row>
    <row r="16" spans="1:61" ht="33" x14ac:dyDescent="0.35">
      <c r="A16" s="11">
        <v>3</v>
      </c>
      <c r="B16" s="11" t="s">
        <v>55</v>
      </c>
      <c r="C16" s="12" t="s">
        <v>56</v>
      </c>
      <c r="D16" s="11">
        <v>2023</v>
      </c>
      <c r="E16" s="11"/>
      <c r="F16" s="20">
        <v>0.19600000000000001</v>
      </c>
      <c r="G16" s="20">
        <v>0</v>
      </c>
      <c r="H16" s="20">
        <v>1.5599999999999999E-2</v>
      </c>
      <c r="I16" s="20">
        <v>0.46400000000000002</v>
      </c>
      <c r="J16" s="16">
        <v>41979773</v>
      </c>
      <c r="K16" s="16">
        <v>787684319980</v>
      </c>
      <c r="L16" s="16">
        <v>786853906149</v>
      </c>
      <c r="M16" s="16">
        <v>1355871069270</v>
      </c>
      <c r="N16" s="16">
        <v>167439134031</v>
      </c>
      <c r="O16" s="16">
        <v>92954672832</v>
      </c>
      <c r="P16" s="16">
        <v>974391698</v>
      </c>
      <c r="Q16" s="16">
        <v>150221863066</v>
      </c>
      <c r="R16" s="16">
        <v>17494075386</v>
      </c>
      <c r="S16" s="16">
        <v>405745037451</v>
      </c>
      <c r="T16" s="16">
        <v>490477935758</v>
      </c>
      <c r="U16" s="16">
        <v>0</v>
      </c>
      <c r="V16" s="16">
        <v>87439470693</v>
      </c>
      <c r="W16" s="16">
        <v>787275525279</v>
      </c>
      <c r="X16" s="11" t="s">
        <v>52</v>
      </c>
      <c r="Y16" s="61" t="s">
        <v>100</v>
      </c>
      <c r="Z16" s="11">
        <v>1</v>
      </c>
      <c r="AA16" s="61" t="s">
        <v>101</v>
      </c>
      <c r="AB16" s="11">
        <v>1</v>
      </c>
      <c r="AC16" s="16">
        <v>18641772642</v>
      </c>
      <c r="AD16" s="16">
        <v>999971315520</v>
      </c>
      <c r="AE16" s="70">
        <v>13837</v>
      </c>
      <c r="AF16" s="16">
        <v>580874119001</v>
      </c>
      <c r="AG16" s="16">
        <v>355899753750</v>
      </c>
      <c r="AH16" s="16">
        <v>148247972622</v>
      </c>
      <c r="AI16" s="16">
        <v>132020652921</v>
      </c>
      <c r="AJ16" s="16">
        <v>-70951110689</v>
      </c>
      <c r="AK16" s="16">
        <v>40858611052</v>
      </c>
      <c r="AL16" s="16">
        <v>122216982536</v>
      </c>
      <c r="AM16" s="16">
        <v>770385094402</v>
      </c>
      <c r="AN16" s="16">
        <v>233682771214</v>
      </c>
      <c r="AO16" s="29">
        <v>-0.23</v>
      </c>
      <c r="AP16" s="16">
        <v>318859392606</v>
      </c>
      <c r="AQ16" s="16">
        <v>-46131788152</v>
      </c>
      <c r="AR16" s="11">
        <v>425</v>
      </c>
      <c r="AS16" s="16">
        <v>1201</v>
      </c>
      <c r="AT16" s="16">
        <v>351190821438</v>
      </c>
      <c r="AU16" s="11">
        <v>31</v>
      </c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</row>
    <row r="17" spans="1:61" ht="33" x14ac:dyDescent="0.35">
      <c r="A17" s="11">
        <v>3</v>
      </c>
      <c r="B17" s="11" t="s">
        <v>55</v>
      </c>
      <c r="C17" s="12" t="s">
        <v>56</v>
      </c>
      <c r="D17" s="11">
        <v>2024</v>
      </c>
      <c r="E17" s="11"/>
      <c r="F17" s="20">
        <v>0.19900000000000001</v>
      </c>
      <c r="G17" s="20">
        <v>0</v>
      </c>
      <c r="H17" s="20">
        <v>1.6E-2</v>
      </c>
      <c r="I17" s="20">
        <v>0.46800000000000003</v>
      </c>
      <c r="J17" s="16">
        <v>41979773</v>
      </c>
      <c r="K17" s="16">
        <v>743880737377</v>
      </c>
      <c r="L17" s="16">
        <v>741241688662</v>
      </c>
      <c r="M17" s="16">
        <v>1284187996713</v>
      </c>
      <c r="N17" s="16">
        <v>176095588564</v>
      </c>
      <c r="O17" s="16">
        <v>94936293601</v>
      </c>
      <c r="P17" s="16">
        <v>1356180770</v>
      </c>
      <c r="Q17" s="16">
        <v>181553940576</v>
      </c>
      <c r="R17" s="16">
        <v>-26268202529</v>
      </c>
      <c r="S17" s="16">
        <v>369607413453</v>
      </c>
      <c r="T17" s="16">
        <v>442745782748</v>
      </c>
      <c r="U17" s="16">
        <v>0</v>
      </c>
      <c r="V17" s="16">
        <v>103346835167</v>
      </c>
      <c r="W17" s="16">
        <v>750950595526</v>
      </c>
      <c r="X17" s="11" t="s">
        <v>52</v>
      </c>
      <c r="Y17" s="61" t="s">
        <v>100</v>
      </c>
      <c r="Z17" s="11">
        <v>1</v>
      </c>
      <c r="AA17" s="61" t="s">
        <v>101</v>
      </c>
      <c r="AB17" s="11">
        <v>1</v>
      </c>
      <c r="AC17" s="16">
        <v>-29093858237</v>
      </c>
      <c r="AD17" s="16">
        <v>948498494718</v>
      </c>
      <c r="AE17" s="70">
        <v>9799</v>
      </c>
      <c r="AF17" s="16">
        <v>411359795627</v>
      </c>
      <c r="AG17" s="16">
        <v>335689501995</v>
      </c>
      <c r="AH17" s="16">
        <v>68890605279</v>
      </c>
      <c r="AI17" s="16">
        <v>1188295819</v>
      </c>
      <c r="AJ17" s="16">
        <v>-56316828962</v>
      </c>
      <c r="AK17" s="16">
        <v>19500426548</v>
      </c>
      <c r="AL17" s="16">
        <v>103053783261</v>
      </c>
      <c r="AM17" s="16">
        <v>740856476417</v>
      </c>
      <c r="AN17" s="16">
        <v>232635718734</v>
      </c>
      <c r="AO17" s="29">
        <v>-0.06</v>
      </c>
      <c r="AP17" s="16">
        <v>253459104730</v>
      </c>
      <c r="AQ17" s="16">
        <v>-20984923228</v>
      </c>
      <c r="AR17" s="30">
        <v>-719</v>
      </c>
      <c r="AS17" s="16">
        <v>1000</v>
      </c>
      <c r="AT17" s="16">
        <v>313979656197</v>
      </c>
      <c r="AU17" s="11">
        <v>32</v>
      </c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</row>
    <row r="18" spans="1:61" ht="31" x14ac:dyDescent="0.35">
      <c r="A18" s="31">
        <v>4</v>
      </c>
      <c r="B18" s="31" t="s">
        <v>57</v>
      </c>
      <c r="C18" s="32" t="s">
        <v>58</v>
      </c>
      <c r="D18" s="31">
        <v>2020</v>
      </c>
      <c r="E18" s="31"/>
      <c r="F18" s="33">
        <v>0.16700000000000001</v>
      </c>
      <c r="G18" s="33">
        <v>0</v>
      </c>
      <c r="H18" s="34" t="s">
        <v>52</v>
      </c>
      <c r="I18" s="33">
        <v>0.1023</v>
      </c>
      <c r="J18" s="34">
        <v>15085305</v>
      </c>
      <c r="K18" s="34">
        <v>1203172731199</v>
      </c>
      <c r="L18" s="34">
        <v>1203172731199</v>
      </c>
      <c r="M18" s="34">
        <v>702041366073</v>
      </c>
      <c r="N18" s="34">
        <v>77664429853</v>
      </c>
      <c r="O18" s="34">
        <v>19294401906</v>
      </c>
      <c r="P18" s="34">
        <v>5479267020</v>
      </c>
      <c r="Q18" s="34">
        <v>1024746285119</v>
      </c>
      <c r="R18" s="34">
        <v>97557073277</v>
      </c>
      <c r="S18" s="34">
        <v>22023006705</v>
      </c>
      <c r="T18" s="34">
        <v>1024665336459</v>
      </c>
      <c r="U18" s="34">
        <v>199667440</v>
      </c>
      <c r="V18" s="34">
        <v>952102145039</v>
      </c>
      <c r="W18" s="34">
        <v>1121635023288</v>
      </c>
      <c r="X18" s="31" t="s">
        <v>52</v>
      </c>
      <c r="Y18" s="56" t="s">
        <v>95</v>
      </c>
      <c r="Z18" s="31">
        <v>0</v>
      </c>
      <c r="AA18" s="64" t="s">
        <v>95</v>
      </c>
      <c r="AB18" s="31">
        <v>0</v>
      </c>
      <c r="AC18" s="34">
        <v>82332644998</v>
      </c>
      <c r="AD18" s="34">
        <v>482381377520</v>
      </c>
      <c r="AE18" s="71">
        <v>12920</v>
      </c>
      <c r="AF18" s="31">
        <v>194902140600</v>
      </c>
      <c r="AG18" s="34">
        <v>219659988553</v>
      </c>
      <c r="AH18" s="34">
        <v>155173448725</v>
      </c>
      <c r="AI18" s="34">
        <v>12611152641</v>
      </c>
      <c r="AJ18" s="34">
        <v>-56088769364</v>
      </c>
      <c r="AK18" s="34">
        <v>136330512608</v>
      </c>
      <c r="AL18" s="34">
        <v>1430350440</v>
      </c>
      <c r="AM18" s="34">
        <v>385066003926</v>
      </c>
      <c r="AN18" s="34">
        <v>218229638113</v>
      </c>
      <c r="AO18" s="33">
        <v>0.42221589947070676</v>
      </c>
      <c r="AP18" s="34">
        <v>274089186</v>
      </c>
      <c r="AQ18" s="34">
        <v>-20022576900</v>
      </c>
      <c r="AR18" s="34">
        <v>5763</v>
      </c>
      <c r="AS18" s="31">
        <v>383</v>
      </c>
      <c r="AT18" s="34">
        <v>74663742443</v>
      </c>
      <c r="AU18" s="31">
        <v>28</v>
      </c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</row>
    <row r="19" spans="1:61" ht="31" x14ac:dyDescent="0.35">
      <c r="A19" s="31">
        <v>4</v>
      </c>
      <c r="B19" s="31" t="s">
        <v>57</v>
      </c>
      <c r="C19" s="32" t="s">
        <v>58</v>
      </c>
      <c r="D19" s="31">
        <v>2021</v>
      </c>
      <c r="E19" s="31"/>
      <c r="F19" s="33">
        <v>0.15260000000000001</v>
      </c>
      <c r="G19" s="33">
        <v>0</v>
      </c>
      <c r="H19" s="34" t="s">
        <v>52</v>
      </c>
      <c r="I19" s="33">
        <v>5.6511056511056514E-2</v>
      </c>
      <c r="J19" s="34">
        <v>15753069</v>
      </c>
      <c r="K19" s="34">
        <v>1851648593740</v>
      </c>
      <c r="L19" s="34">
        <v>1851648593740</v>
      </c>
      <c r="M19" s="34">
        <v>933648493033</v>
      </c>
      <c r="N19" s="34">
        <v>76037359744</v>
      </c>
      <c r="O19" s="34">
        <v>19342291259</v>
      </c>
      <c r="P19" s="34">
        <v>2293949992</v>
      </c>
      <c r="Q19" s="34">
        <v>1608261439550</v>
      </c>
      <c r="R19" s="34">
        <v>213958042895</v>
      </c>
      <c r="S19" s="34">
        <v>31889078382</v>
      </c>
      <c r="T19" s="34">
        <v>1618617388870</v>
      </c>
      <c r="U19" s="34">
        <v>491155713</v>
      </c>
      <c r="V19" s="34">
        <v>1477834334121</v>
      </c>
      <c r="W19" s="34">
        <v>1713799840026</v>
      </c>
      <c r="X19" s="31" t="s">
        <v>52</v>
      </c>
      <c r="Y19" s="56" t="s">
        <v>95</v>
      </c>
      <c r="Z19" s="31">
        <v>0</v>
      </c>
      <c r="AA19" s="64" t="s">
        <v>95</v>
      </c>
      <c r="AB19" s="31">
        <v>0</v>
      </c>
      <c r="AC19" s="34">
        <v>175037638716</v>
      </c>
      <c r="AD19" s="34">
        <v>620111723695</v>
      </c>
      <c r="AE19" s="71">
        <v>30966</v>
      </c>
      <c r="AF19" s="31">
        <v>487809534654</v>
      </c>
      <c r="AG19" s="34">
        <v>313536769338</v>
      </c>
      <c r="AH19" s="34">
        <v>1609005031</v>
      </c>
      <c r="AI19" s="34">
        <v>19410506783</v>
      </c>
      <c r="AJ19" s="34">
        <v>128160235180</v>
      </c>
      <c r="AK19" s="34">
        <v>231546309493</v>
      </c>
      <c r="AL19" s="34">
        <v>0</v>
      </c>
      <c r="AM19" s="34">
        <v>689908573929</v>
      </c>
      <c r="AN19" s="34">
        <v>313536769338</v>
      </c>
      <c r="AO19" s="33">
        <v>0.53897154226124555</v>
      </c>
      <c r="AP19" s="34">
        <v>762777306</v>
      </c>
      <c r="AQ19" s="34">
        <v>-41388939675</v>
      </c>
      <c r="AR19" s="34">
        <v>8347</v>
      </c>
      <c r="AS19" s="34">
        <v>382</v>
      </c>
      <c r="AT19" s="34">
        <v>69160025558</v>
      </c>
      <c r="AU19" s="31">
        <v>29</v>
      </c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</row>
    <row r="20" spans="1:61" ht="46.5" x14ac:dyDescent="0.35">
      <c r="A20" s="31">
        <v>4</v>
      </c>
      <c r="B20" s="31" t="s">
        <v>57</v>
      </c>
      <c r="C20" s="32" t="s">
        <v>58</v>
      </c>
      <c r="D20" s="31">
        <v>2022</v>
      </c>
      <c r="E20" s="31"/>
      <c r="F20" s="33">
        <v>0.1537</v>
      </c>
      <c r="G20" s="33">
        <v>0</v>
      </c>
      <c r="H20" s="34" t="s">
        <v>52</v>
      </c>
      <c r="I20" s="33">
        <v>8.8300000000000003E-2</v>
      </c>
      <c r="J20" s="34">
        <v>23816046</v>
      </c>
      <c r="K20" s="34">
        <v>1724364161804</v>
      </c>
      <c r="L20" s="34">
        <v>1724364161804</v>
      </c>
      <c r="M20" s="34">
        <v>996424236673</v>
      </c>
      <c r="N20" s="34">
        <v>75197656234</v>
      </c>
      <c r="O20" s="34">
        <v>23122553355</v>
      </c>
      <c r="P20" s="34">
        <v>2245000000</v>
      </c>
      <c r="Q20" s="34">
        <v>1485751404871</v>
      </c>
      <c r="R20" s="34">
        <v>267620030527</v>
      </c>
      <c r="S20" s="34">
        <v>21971361902</v>
      </c>
      <c r="T20" s="34">
        <v>1531464818850</v>
      </c>
      <c r="U20" s="34">
        <v>567231429</v>
      </c>
      <c r="V20" s="34">
        <v>1425456954585</v>
      </c>
      <c r="W20" s="34">
        <v>1581007388463</v>
      </c>
      <c r="X20" s="31" t="s">
        <v>52</v>
      </c>
      <c r="Y20" s="56" t="s">
        <v>95</v>
      </c>
      <c r="Z20" s="31">
        <v>0</v>
      </c>
      <c r="AA20" s="64" t="s">
        <v>92</v>
      </c>
      <c r="AB20" s="31">
        <v>1</v>
      </c>
      <c r="AC20" s="34">
        <v>214418568181</v>
      </c>
      <c r="AD20" s="34">
        <v>775921470267</v>
      </c>
      <c r="AE20" s="71">
        <v>23064</v>
      </c>
      <c r="AF20" s="31">
        <v>549293284944</v>
      </c>
      <c r="AG20" s="34">
        <v>220502766406</v>
      </c>
      <c r="AH20" s="34">
        <v>25729048021</v>
      </c>
      <c r="AI20" s="34">
        <v>21506178686</v>
      </c>
      <c r="AJ20" s="34">
        <v>-53588769300</v>
      </c>
      <c r="AK20" s="34">
        <v>151852936933</v>
      </c>
      <c r="AL20" s="34">
        <v>0</v>
      </c>
      <c r="AM20" s="34">
        <v>611195454908</v>
      </c>
      <c r="AN20" s="34">
        <v>220502766406</v>
      </c>
      <c r="AO20" s="33">
        <v>-6.8741138230180132E-2</v>
      </c>
      <c r="AP20" s="34">
        <v>49099056400</v>
      </c>
      <c r="AQ20" s="34">
        <v>-63096475000</v>
      </c>
      <c r="AR20" s="34">
        <v>10081</v>
      </c>
      <c r="AS20" s="34">
        <v>387</v>
      </c>
      <c r="AT20" s="34">
        <v>75170702780</v>
      </c>
      <c r="AU20" s="31">
        <v>30</v>
      </c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</row>
    <row r="21" spans="1:61" ht="46.5" x14ac:dyDescent="0.35">
      <c r="A21" s="31">
        <v>4</v>
      </c>
      <c r="B21" s="31" t="s">
        <v>57</v>
      </c>
      <c r="C21" s="32" t="s">
        <v>58</v>
      </c>
      <c r="D21" s="31">
        <v>2023</v>
      </c>
      <c r="E21" s="31"/>
      <c r="F21" s="33">
        <v>0.1331</v>
      </c>
      <c r="G21" s="33">
        <v>0</v>
      </c>
      <c r="H21" s="34" t="s">
        <v>52</v>
      </c>
      <c r="I21" s="33">
        <v>9.4700000000000006E-2</v>
      </c>
      <c r="J21" s="34">
        <v>23816046</v>
      </c>
      <c r="K21" s="34">
        <v>1017527242605</v>
      </c>
      <c r="L21" s="34">
        <v>1017527242605</v>
      </c>
      <c r="M21" s="34">
        <v>890867347912</v>
      </c>
      <c r="N21" s="34">
        <v>74971997727</v>
      </c>
      <c r="O21" s="34">
        <v>23675886492</v>
      </c>
      <c r="P21" s="34">
        <v>2295848610</v>
      </c>
      <c r="Q21" s="34">
        <v>955298549186</v>
      </c>
      <c r="R21" s="34">
        <v>126931339680</v>
      </c>
      <c r="S21" s="34">
        <v>1035656033</v>
      </c>
      <c r="T21" s="34">
        <v>839147870437</v>
      </c>
      <c r="U21" s="34">
        <v>2664805794</v>
      </c>
      <c r="V21" s="34">
        <v>818620019861</v>
      </c>
      <c r="W21" s="34">
        <v>921713667272</v>
      </c>
      <c r="X21" s="31" t="s">
        <v>52</v>
      </c>
      <c r="Y21" s="56" t="s">
        <v>95</v>
      </c>
      <c r="Z21" s="31">
        <v>0</v>
      </c>
      <c r="AA21" s="64" t="s">
        <v>93</v>
      </c>
      <c r="AB21" s="31">
        <v>1</v>
      </c>
      <c r="AC21" s="34">
        <v>103120257241</v>
      </c>
      <c r="AD21" s="34">
        <v>734679525200</v>
      </c>
      <c r="AE21" s="71">
        <v>25884</v>
      </c>
      <c r="AF21" s="31">
        <v>616454534664</v>
      </c>
      <c r="AG21" s="34">
        <v>156187822712</v>
      </c>
      <c r="AH21" s="34">
        <v>159159434802</v>
      </c>
      <c r="AI21" s="34">
        <v>383371267</v>
      </c>
      <c r="AJ21" s="34">
        <v>70773144115</v>
      </c>
      <c r="AK21" s="34">
        <v>243643051621</v>
      </c>
      <c r="AL21" s="34">
        <v>91160000</v>
      </c>
      <c r="AM21" s="34">
        <v>576694622832</v>
      </c>
      <c r="AN21" s="34">
        <v>156096662712</v>
      </c>
      <c r="AO21" s="33">
        <v>-0.40991162705418294</v>
      </c>
      <c r="AP21" s="34">
        <v>46919481751</v>
      </c>
      <c r="AQ21" s="34">
        <v>-137968458178</v>
      </c>
      <c r="AR21" s="34">
        <v>3445</v>
      </c>
      <c r="AS21" s="34">
        <v>372</v>
      </c>
      <c r="AT21" s="34">
        <v>58711796600</v>
      </c>
      <c r="AU21" s="31">
        <v>31</v>
      </c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</row>
    <row r="22" spans="1:61" ht="31" x14ac:dyDescent="0.35">
      <c r="A22" s="31">
        <v>4</v>
      </c>
      <c r="B22" s="31" t="s">
        <v>57</v>
      </c>
      <c r="C22" s="32" t="s">
        <v>58</v>
      </c>
      <c r="D22" s="31">
        <v>2024</v>
      </c>
      <c r="E22" s="31"/>
      <c r="F22" s="33">
        <v>0.1658</v>
      </c>
      <c r="G22" s="33">
        <v>0</v>
      </c>
      <c r="H22" s="31" t="s">
        <v>52</v>
      </c>
      <c r="I22" s="33">
        <v>0.1027</v>
      </c>
      <c r="J22" s="34">
        <v>24887046</v>
      </c>
      <c r="K22" s="34">
        <v>1087771573724</v>
      </c>
      <c r="L22" s="34">
        <v>1087771573724</v>
      </c>
      <c r="M22" s="34">
        <v>920947023360</v>
      </c>
      <c r="N22" s="34">
        <v>71117632758</v>
      </c>
      <c r="O22" s="34">
        <v>21725493390</v>
      </c>
      <c r="P22" s="34">
        <v>2276165274</v>
      </c>
      <c r="Q22" s="34">
        <v>844865589794</v>
      </c>
      <c r="R22" s="34">
        <v>94602277830</v>
      </c>
      <c r="S22" s="34">
        <v>1342658458</v>
      </c>
      <c r="T22" s="34">
        <v>931199847169</v>
      </c>
      <c r="U22" s="34">
        <v>5221223728</v>
      </c>
      <c r="V22" s="34">
        <v>932608181838</v>
      </c>
      <c r="W22" s="34">
        <v>1024003962214</v>
      </c>
      <c r="X22" s="31" t="s">
        <v>52</v>
      </c>
      <c r="Y22" s="56" t="s">
        <v>95</v>
      </c>
      <c r="Z22" s="31">
        <v>0</v>
      </c>
      <c r="AA22" s="64" t="s">
        <v>95</v>
      </c>
      <c r="AB22" s="31">
        <v>0</v>
      </c>
      <c r="AC22" s="34">
        <v>78384997675</v>
      </c>
      <c r="AD22" s="34">
        <v>763666260408</v>
      </c>
      <c r="AE22" s="71">
        <v>26407</v>
      </c>
      <c r="AF22" s="31">
        <v>657192223722</v>
      </c>
      <c r="AG22" s="34">
        <v>157280762952</v>
      </c>
      <c r="AH22" s="34">
        <v>35723568656</v>
      </c>
      <c r="AI22" s="34">
        <v>2325757171</v>
      </c>
      <c r="AJ22" s="34">
        <v>6643615954</v>
      </c>
      <c r="AK22" s="34">
        <v>252466824362</v>
      </c>
      <c r="AL22" s="34">
        <v>91160000</v>
      </c>
      <c r="AM22" s="34">
        <v>627020287079</v>
      </c>
      <c r="AN22" s="34">
        <v>157189602952</v>
      </c>
      <c r="AO22" s="33">
        <v>6.9034349330211076E-2</v>
      </c>
      <c r="AP22" s="34">
        <v>45520513988</v>
      </c>
      <c r="AQ22" s="34">
        <v>-46314068000</v>
      </c>
      <c r="AR22" s="34">
        <v>4341</v>
      </c>
      <c r="AS22" s="31">
        <v>362</v>
      </c>
      <c r="AT22" s="34">
        <v>47128327697</v>
      </c>
      <c r="AU22" s="31">
        <v>32</v>
      </c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</row>
    <row r="23" spans="1:61" ht="33" x14ac:dyDescent="0.35">
      <c r="A23" s="11">
        <v>5</v>
      </c>
      <c r="B23" s="11" t="s">
        <v>59</v>
      </c>
      <c r="C23" s="12" t="s">
        <v>60</v>
      </c>
      <c r="D23" s="11">
        <v>2020</v>
      </c>
      <c r="E23" s="11"/>
      <c r="F23" s="35">
        <v>2.3539999999999998E-2</v>
      </c>
      <c r="G23" s="35">
        <v>0</v>
      </c>
      <c r="H23" s="36" t="s">
        <v>52</v>
      </c>
      <c r="I23" s="36">
        <v>0.13450999999999999</v>
      </c>
      <c r="J23" s="37">
        <v>15029145</v>
      </c>
      <c r="K23" s="37">
        <v>638232429348</v>
      </c>
      <c r="L23" s="37">
        <v>638219363218</v>
      </c>
      <c r="M23" s="38">
        <v>975881199539</v>
      </c>
      <c r="N23" s="38">
        <v>35151850484</v>
      </c>
      <c r="O23" s="37">
        <v>4056818583</v>
      </c>
      <c r="P23" s="37">
        <v>61995112060</v>
      </c>
      <c r="Q23" s="37">
        <v>167154460214</v>
      </c>
      <c r="R23" s="38">
        <v>91942811509</v>
      </c>
      <c r="S23" s="38">
        <v>155299235189</v>
      </c>
      <c r="T23" s="37">
        <v>500554938180</v>
      </c>
      <c r="U23" s="37">
        <v>6117702431</v>
      </c>
      <c r="V23" s="37">
        <v>134888007803</v>
      </c>
      <c r="W23" s="37">
        <v>375210228099</v>
      </c>
      <c r="X23" s="39" t="s">
        <v>52</v>
      </c>
      <c r="Y23" s="56" t="s">
        <v>95</v>
      </c>
      <c r="Z23" s="39">
        <v>0</v>
      </c>
      <c r="AA23" s="61" t="s">
        <v>101</v>
      </c>
      <c r="AB23" s="39">
        <v>1</v>
      </c>
      <c r="AC23" s="38">
        <v>83112130287</v>
      </c>
      <c r="AD23" s="38">
        <v>550265349680</v>
      </c>
      <c r="AE23" s="72">
        <v>11364</v>
      </c>
      <c r="AF23" s="38">
        <v>170771203780</v>
      </c>
      <c r="AG23" s="38">
        <v>425615849859</v>
      </c>
      <c r="AH23" s="38">
        <v>59666257418</v>
      </c>
      <c r="AI23" s="37">
        <v>19948106716</v>
      </c>
      <c r="AJ23" s="37">
        <v>-38386532906</v>
      </c>
      <c r="AK23" s="37">
        <v>90427262563</v>
      </c>
      <c r="AL23" s="37">
        <v>42630067500</v>
      </c>
      <c r="AM23" s="38">
        <v>489073472602</v>
      </c>
      <c r="AN23" s="38">
        <v>382985782359</v>
      </c>
      <c r="AO23" s="40">
        <v>-0.20449999999999999</v>
      </c>
      <c r="AP23" s="37">
        <v>67112186180</v>
      </c>
      <c r="AQ23" s="37">
        <v>-36067911960</v>
      </c>
      <c r="AR23" s="38">
        <v>5070</v>
      </c>
      <c r="AS23" s="41">
        <v>263</v>
      </c>
      <c r="AT23" s="37">
        <v>135234862208</v>
      </c>
      <c r="AU23" s="39">
        <v>27</v>
      </c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</row>
    <row r="24" spans="1:61" ht="33" x14ac:dyDescent="0.35">
      <c r="A24" s="11">
        <v>5</v>
      </c>
      <c r="B24" s="11" t="s">
        <v>59</v>
      </c>
      <c r="C24" s="12" t="s">
        <v>60</v>
      </c>
      <c r="D24" s="11">
        <v>2021</v>
      </c>
      <c r="E24" s="11"/>
      <c r="F24" s="36">
        <v>2.35E-2</v>
      </c>
      <c r="G24" s="35">
        <v>0</v>
      </c>
      <c r="H24" s="36" t="s">
        <v>52</v>
      </c>
      <c r="I24" s="36">
        <v>4.104E-2</v>
      </c>
      <c r="J24" s="37">
        <v>15029145</v>
      </c>
      <c r="K24" s="37">
        <v>515892584204</v>
      </c>
      <c r="L24" s="37">
        <v>515892584204</v>
      </c>
      <c r="M24" s="38">
        <v>973034696395</v>
      </c>
      <c r="N24" s="37">
        <v>24841576471</v>
      </c>
      <c r="O24" s="37">
        <v>21906132281</v>
      </c>
      <c r="P24" s="37">
        <v>60319245988</v>
      </c>
      <c r="Q24" s="37">
        <v>170934617714</v>
      </c>
      <c r="R24" s="38">
        <v>81845792485</v>
      </c>
      <c r="S24" s="37">
        <v>189347711580</v>
      </c>
      <c r="T24" s="37">
        <v>448944788444</v>
      </c>
      <c r="U24" s="37">
        <v>6161116442</v>
      </c>
      <c r="V24" s="37">
        <v>122701075145</v>
      </c>
      <c r="W24" s="37">
        <v>398136047984</v>
      </c>
      <c r="X24" s="39" t="s">
        <v>52</v>
      </c>
      <c r="Y24" s="56" t="s">
        <v>95</v>
      </c>
      <c r="Z24" s="39">
        <v>0</v>
      </c>
      <c r="AA24" s="61" t="s">
        <v>101</v>
      </c>
      <c r="AB24" s="39">
        <v>1</v>
      </c>
      <c r="AC24" s="37">
        <v>75289583290</v>
      </c>
      <c r="AD24" s="38">
        <v>583903617998</v>
      </c>
      <c r="AE24" s="72">
        <v>14694</v>
      </c>
      <c r="AF24" s="38">
        <v>220838256630</v>
      </c>
      <c r="AG24" s="38">
        <v>389131078397</v>
      </c>
      <c r="AH24" s="37">
        <v>-13403855921</v>
      </c>
      <c r="AI24" s="37">
        <v>6804863324</v>
      </c>
      <c r="AJ24" s="37">
        <v>129637732662</v>
      </c>
      <c r="AK24" s="37">
        <v>113761289692</v>
      </c>
      <c r="AL24" s="37">
        <v>38391667500</v>
      </c>
      <c r="AM24" s="37">
        <v>541350866848</v>
      </c>
      <c r="AN24" s="38">
        <v>350739410897</v>
      </c>
      <c r="AO24" s="36">
        <v>-0.19170000000000001</v>
      </c>
      <c r="AP24" s="37">
        <v>72312901329</v>
      </c>
      <c r="AQ24" s="37">
        <v>-18040738980</v>
      </c>
      <c r="AR24" s="38">
        <v>4618</v>
      </c>
      <c r="AS24" s="39">
        <v>218</v>
      </c>
      <c r="AT24" s="37">
        <v>132682908149</v>
      </c>
      <c r="AU24" s="39">
        <v>28</v>
      </c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</row>
    <row r="25" spans="1:61" ht="33" x14ac:dyDescent="0.35">
      <c r="A25" s="11">
        <v>5</v>
      </c>
      <c r="B25" s="11" t="s">
        <v>59</v>
      </c>
      <c r="C25" s="12" t="s">
        <v>60</v>
      </c>
      <c r="D25" s="11">
        <v>2022</v>
      </c>
      <c r="E25" s="11"/>
      <c r="F25" s="36">
        <v>2.35E-2</v>
      </c>
      <c r="G25" s="35">
        <v>0</v>
      </c>
      <c r="H25" s="36" t="s">
        <v>52</v>
      </c>
      <c r="I25" s="36">
        <v>4.48E-2</v>
      </c>
      <c r="J25" s="37">
        <v>15029145</v>
      </c>
      <c r="K25" s="37">
        <v>571794811757</v>
      </c>
      <c r="L25" s="37">
        <v>571763259757</v>
      </c>
      <c r="M25" s="38">
        <v>1010445441574</v>
      </c>
      <c r="N25" s="38">
        <v>22087834334</v>
      </c>
      <c r="O25" s="37">
        <v>17360703360</v>
      </c>
      <c r="P25" s="37">
        <v>58727775115</v>
      </c>
      <c r="Q25" s="37">
        <v>137226351984</v>
      </c>
      <c r="R25" s="38">
        <v>16529135931</v>
      </c>
      <c r="S25" s="38">
        <v>234782037100</v>
      </c>
      <c r="T25" s="37">
        <v>512098620098</v>
      </c>
      <c r="U25" s="37">
        <v>9156404740</v>
      </c>
      <c r="V25" s="37">
        <v>90569103650</v>
      </c>
      <c r="W25" s="37">
        <v>409582109793</v>
      </c>
      <c r="X25" s="39" t="s">
        <v>52</v>
      </c>
      <c r="Y25" s="56" t="s">
        <v>95</v>
      </c>
      <c r="Z25" s="39">
        <v>0</v>
      </c>
      <c r="AA25" s="61" t="s">
        <v>101</v>
      </c>
      <c r="AB25" s="39">
        <v>1</v>
      </c>
      <c r="AC25" s="38">
        <v>20510942791</v>
      </c>
      <c r="AD25" s="38">
        <v>587204394856</v>
      </c>
      <c r="AE25" s="72">
        <v>8728</v>
      </c>
      <c r="AF25" s="38">
        <v>131174376560</v>
      </c>
      <c r="AG25" s="38">
        <v>423241046718</v>
      </c>
      <c r="AH25" s="38">
        <v>-105020464225</v>
      </c>
      <c r="AI25" s="38">
        <v>3021675103</v>
      </c>
      <c r="AJ25" s="38">
        <v>-2963009361</v>
      </c>
      <c r="AK25" s="37">
        <v>97861011092</v>
      </c>
      <c r="AL25" s="37">
        <v>29103267500</v>
      </c>
      <c r="AM25" s="38">
        <v>578581008992</v>
      </c>
      <c r="AN25" s="38">
        <v>394137779218</v>
      </c>
      <c r="AO25" s="40">
        <v>0.1084</v>
      </c>
      <c r="AP25" s="38">
        <v>74395772824</v>
      </c>
      <c r="AQ25" s="38">
        <v>-36070194986</v>
      </c>
      <c r="AR25" s="37">
        <v>1298</v>
      </c>
      <c r="AS25" s="39">
        <v>224</v>
      </c>
      <c r="AT25" s="37">
        <v>110621991397</v>
      </c>
      <c r="AU25" s="39">
        <v>29</v>
      </c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</row>
    <row r="26" spans="1:61" ht="33" x14ac:dyDescent="0.35">
      <c r="A26" s="11">
        <v>5</v>
      </c>
      <c r="B26" s="11" t="s">
        <v>59</v>
      </c>
      <c r="C26" s="12" t="s">
        <v>60</v>
      </c>
      <c r="D26" s="11">
        <v>2023</v>
      </c>
      <c r="E26" s="11"/>
      <c r="F26" s="36">
        <v>1.789E-2</v>
      </c>
      <c r="G26" s="35">
        <v>0</v>
      </c>
      <c r="H26" s="36" t="s">
        <v>52</v>
      </c>
      <c r="I26" s="36">
        <v>3.8370000000000001E-2</v>
      </c>
      <c r="J26" s="37">
        <v>15029145</v>
      </c>
      <c r="K26" s="37">
        <v>494136907209</v>
      </c>
      <c r="L26" s="37">
        <v>494116022209</v>
      </c>
      <c r="M26" s="38">
        <v>864510257596</v>
      </c>
      <c r="N26" s="37">
        <v>27785326370</v>
      </c>
      <c r="O26" s="37">
        <v>40744767798</v>
      </c>
      <c r="P26" s="37">
        <v>56892464239</v>
      </c>
      <c r="Q26" s="37">
        <v>144158441410</v>
      </c>
      <c r="R26" s="38">
        <v>-28219174001</v>
      </c>
      <c r="S26" s="37">
        <v>8130112890</v>
      </c>
      <c r="T26" s="37">
        <v>515520035706</v>
      </c>
      <c r="U26" s="37">
        <v>8066300111</v>
      </c>
      <c r="V26" s="37">
        <v>106980689368</v>
      </c>
      <c r="W26" s="37">
        <v>176665948595</v>
      </c>
      <c r="X26" s="39" t="s">
        <v>52</v>
      </c>
      <c r="Y26" s="56" t="s">
        <v>95</v>
      </c>
      <c r="Z26" s="39">
        <v>0</v>
      </c>
      <c r="AA26" s="61" t="s">
        <v>101</v>
      </c>
      <c r="AB26" s="39">
        <v>1</v>
      </c>
      <c r="AC26" s="38">
        <v>-26982148276</v>
      </c>
      <c r="AD26" s="38">
        <v>535932188524</v>
      </c>
      <c r="AE26" s="72">
        <v>8418</v>
      </c>
      <c r="AF26" s="38">
        <v>126515341610</v>
      </c>
      <c r="AG26" s="38">
        <v>328578069072</v>
      </c>
      <c r="AH26" s="37">
        <v>-9956971274</v>
      </c>
      <c r="AI26" s="37">
        <v>4996928662</v>
      </c>
      <c r="AJ26" s="37">
        <v>90191296995</v>
      </c>
      <c r="AK26" s="37">
        <v>63215235830</v>
      </c>
      <c r="AL26" s="37">
        <v>0</v>
      </c>
      <c r="AM26" s="38">
        <v>462588802109</v>
      </c>
      <c r="AN26" s="38">
        <v>328578069072</v>
      </c>
      <c r="AO26" s="36">
        <v>-0.1358</v>
      </c>
      <c r="AP26" s="37">
        <v>95799786321</v>
      </c>
      <c r="AQ26" s="37">
        <v>-15029019600</v>
      </c>
      <c r="AR26" s="37">
        <v>-1248</v>
      </c>
      <c r="AS26" s="39">
        <v>222</v>
      </c>
      <c r="AT26" s="37">
        <v>94766752785</v>
      </c>
      <c r="AU26" s="39">
        <v>30</v>
      </c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</row>
    <row r="27" spans="1:61" ht="33" x14ac:dyDescent="0.35">
      <c r="A27" s="11">
        <v>5</v>
      </c>
      <c r="B27" s="11" t="s">
        <v>59</v>
      </c>
      <c r="C27" s="12" t="s">
        <v>60</v>
      </c>
      <c r="D27" s="11">
        <v>2024</v>
      </c>
      <c r="E27" s="11"/>
      <c r="F27" s="42">
        <v>0.26119999999999999</v>
      </c>
      <c r="G27" s="35">
        <v>0</v>
      </c>
      <c r="H27" s="36" t="s">
        <v>52</v>
      </c>
      <c r="I27" s="36">
        <v>1.056E-2</v>
      </c>
      <c r="J27" s="37">
        <v>15029145</v>
      </c>
      <c r="K27" s="37">
        <v>626849791749</v>
      </c>
      <c r="L27" s="37">
        <v>626831909349</v>
      </c>
      <c r="M27" s="38">
        <v>788592439800</v>
      </c>
      <c r="N27" s="37">
        <v>27339534420</v>
      </c>
      <c r="O27" s="37">
        <v>21748960137</v>
      </c>
      <c r="P27" s="37">
        <v>51656115056</v>
      </c>
      <c r="Q27" s="37">
        <v>128105140820</v>
      </c>
      <c r="R27" s="38">
        <v>5784446751</v>
      </c>
      <c r="S27" s="37">
        <v>204385972937</v>
      </c>
      <c r="T27" s="37">
        <v>558625496987</v>
      </c>
      <c r="U27" s="37">
        <v>8604870469</v>
      </c>
      <c r="V27" s="37">
        <v>101252377840</v>
      </c>
      <c r="W27" s="37">
        <v>377429631060</v>
      </c>
      <c r="X27" s="39" t="s">
        <v>52</v>
      </c>
      <c r="Y27" s="56" t="s">
        <v>95</v>
      </c>
      <c r="Z27" s="39">
        <v>0</v>
      </c>
      <c r="AA27" s="61" t="s">
        <v>101</v>
      </c>
      <c r="AB27" s="39">
        <v>0</v>
      </c>
      <c r="AC27" s="38">
        <v>8129058483</v>
      </c>
      <c r="AD27" s="37">
        <v>543631774387</v>
      </c>
      <c r="AE27" s="72">
        <v>8819</v>
      </c>
      <c r="AF27" s="38">
        <v>132542009755</v>
      </c>
      <c r="AG27" s="38">
        <v>244960665413</v>
      </c>
      <c r="AH27" s="37">
        <v>61428228736</v>
      </c>
      <c r="AI27" s="37">
        <v>6174499020</v>
      </c>
      <c r="AJ27" s="37">
        <v>1155064018</v>
      </c>
      <c r="AK27" s="37">
        <v>49051184329</v>
      </c>
      <c r="AL27" s="37">
        <v>37931769</v>
      </c>
      <c r="AM27" s="38">
        <v>293450125677</v>
      </c>
      <c r="AN27" s="38">
        <v>244922733644</v>
      </c>
      <c r="AO27" s="36">
        <v>0.26800000000000002</v>
      </c>
      <c r="AP27" s="37">
        <v>85600206905</v>
      </c>
      <c r="AQ27" s="39">
        <v>0</v>
      </c>
      <c r="AR27" s="39">
        <v>377</v>
      </c>
      <c r="AS27" s="39">
        <v>207</v>
      </c>
      <c r="AT27" s="37">
        <v>86624081227</v>
      </c>
      <c r="AU27" s="39">
        <v>31</v>
      </c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</row>
    <row r="28" spans="1:61" ht="33" x14ac:dyDescent="0.35">
      <c r="A28" s="31">
        <v>6</v>
      </c>
      <c r="B28" s="31" t="s">
        <v>61</v>
      </c>
      <c r="C28" s="32" t="s">
        <v>62</v>
      </c>
      <c r="D28" s="31">
        <v>2020</v>
      </c>
      <c r="E28" s="31"/>
      <c r="F28" s="43">
        <v>0.1774908</v>
      </c>
      <c r="G28" s="43">
        <v>0</v>
      </c>
      <c r="H28" s="43">
        <v>0.1326</v>
      </c>
      <c r="I28" s="43">
        <v>2E-3</v>
      </c>
      <c r="J28" s="34">
        <v>45539968</v>
      </c>
      <c r="K28" s="34">
        <v>5733501727337</v>
      </c>
      <c r="L28" s="34">
        <v>5644018796504</v>
      </c>
      <c r="M28" s="34">
        <v>1578696957105</v>
      </c>
      <c r="N28" s="34">
        <v>189272855206</v>
      </c>
      <c r="O28" s="34">
        <v>103083396944</v>
      </c>
      <c r="P28" s="34">
        <v>84742669806</v>
      </c>
      <c r="Q28" s="34">
        <v>194028036197</v>
      </c>
      <c r="R28" s="34">
        <v>-6572201692</v>
      </c>
      <c r="S28" s="34">
        <v>5321199367441</v>
      </c>
      <c r="T28" s="34">
        <v>5177724955813</v>
      </c>
      <c r="U28" s="34">
        <v>8014379248</v>
      </c>
      <c r="V28" s="34">
        <v>47265386856</v>
      </c>
      <c r="W28" s="34">
        <v>5627235756127</v>
      </c>
      <c r="X28" s="31" t="s">
        <v>52</v>
      </c>
      <c r="Y28" s="56" t="s">
        <v>95</v>
      </c>
      <c r="Z28" s="31">
        <v>0</v>
      </c>
      <c r="AA28" s="61" t="s">
        <v>101</v>
      </c>
      <c r="AB28" s="31">
        <v>1</v>
      </c>
      <c r="AC28" s="34">
        <v>1430416184</v>
      </c>
      <c r="AD28" s="34">
        <v>532333206954</v>
      </c>
      <c r="AE28" s="71">
        <v>14512</v>
      </c>
      <c r="AF28" s="31">
        <v>660876015616</v>
      </c>
      <c r="AG28" s="34">
        <v>1046363750151</v>
      </c>
      <c r="AH28" s="34">
        <v>120880820969</v>
      </c>
      <c r="AI28" s="34">
        <v>13841208686</v>
      </c>
      <c r="AJ28" s="34">
        <v>-39298440835</v>
      </c>
      <c r="AK28" s="34">
        <v>39582976464</v>
      </c>
      <c r="AL28" s="34">
        <v>177040761635</v>
      </c>
      <c r="AM28" s="34">
        <v>968201415794</v>
      </c>
      <c r="AN28" s="34">
        <v>869322988516</v>
      </c>
      <c r="AO28" s="33">
        <v>-0.11509999999999999</v>
      </c>
      <c r="AP28" s="34">
        <v>299345762083</v>
      </c>
      <c r="AQ28" s="34">
        <v>-630234352</v>
      </c>
      <c r="AR28" s="31">
        <v>22</v>
      </c>
      <c r="AS28" s="31">
        <v>1135</v>
      </c>
      <c r="AT28" s="34">
        <v>76109566797</v>
      </c>
      <c r="AU28" s="31">
        <v>11</v>
      </c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</row>
    <row r="29" spans="1:61" ht="33" x14ac:dyDescent="0.35">
      <c r="A29" s="31">
        <v>6</v>
      </c>
      <c r="B29" s="31" t="s">
        <v>61</v>
      </c>
      <c r="C29" s="32" t="s">
        <v>62</v>
      </c>
      <c r="D29" s="31">
        <v>2021</v>
      </c>
      <c r="E29" s="31"/>
      <c r="F29" s="43" t="s">
        <v>52</v>
      </c>
      <c r="G29" s="43">
        <v>0</v>
      </c>
      <c r="H29" s="43">
        <v>8.8400000000000006E-2</v>
      </c>
      <c r="I29" s="43">
        <v>4.8999999999999998E-3</v>
      </c>
      <c r="J29" s="34">
        <v>72397776</v>
      </c>
      <c r="K29" s="34">
        <v>4561827016960</v>
      </c>
      <c r="L29" s="34">
        <v>4508687749323</v>
      </c>
      <c r="M29" s="34">
        <v>1762091595441</v>
      </c>
      <c r="N29" s="34">
        <v>154230365310</v>
      </c>
      <c r="O29" s="34">
        <v>82451965194</v>
      </c>
      <c r="P29" s="34">
        <v>84658939983</v>
      </c>
      <c r="Q29" s="34">
        <v>127966357330</v>
      </c>
      <c r="R29" s="34">
        <v>47026094775</v>
      </c>
      <c r="S29" s="34">
        <v>4193334251128</v>
      </c>
      <c r="T29" s="34">
        <v>4243308429396</v>
      </c>
      <c r="U29" s="34">
        <v>5446919993</v>
      </c>
      <c r="V29" s="34">
        <v>33747149928</v>
      </c>
      <c r="W29" s="34">
        <v>4453781052760</v>
      </c>
      <c r="X29" s="31" t="s">
        <v>52</v>
      </c>
      <c r="Y29" s="56" t="s">
        <v>95</v>
      </c>
      <c r="Z29" s="31">
        <v>0</v>
      </c>
      <c r="AA29" s="61" t="s">
        <v>101</v>
      </c>
      <c r="AB29" s="31">
        <v>1</v>
      </c>
      <c r="AC29" s="34">
        <v>51833349519</v>
      </c>
      <c r="AD29" s="34">
        <v>811828271880</v>
      </c>
      <c r="AE29" s="71">
        <v>15678</v>
      </c>
      <c r="AF29" s="31">
        <v>1135052332128</v>
      </c>
      <c r="AG29" s="34">
        <v>950263323561</v>
      </c>
      <c r="AH29" s="34">
        <v>-150381889373</v>
      </c>
      <c r="AI29" s="34">
        <v>12696760196</v>
      </c>
      <c r="AJ29" s="34">
        <v>-5633496412</v>
      </c>
      <c r="AK29" s="34">
        <v>55474603075</v>
      </c>
      <c r="AL29" s="34">
        <v>66954342500</v>
      </c>
      <c r="AM29" s="34">
        <v>1196236693916</v>
      </c>
      <c r="AN29" s="34">
        <v>883308981061</v>
      </c>
      <c r="AO29" s="33">
        <v>-0.2044</v>
      </c>
      <c r="AP29" s="34">
        <v>325137984316</v>
      </c>
      <c r="AQ29" s="34">
        <v>-95654000</v>
      </c>
      <c r="AR29" s="31">
        <v>741</v>
      </c>
      <c r="AS29" s="31">
        <v>1268</v>
      </c>
      <c r="AT29" s="34">
        <v>74795519469</v>
      </c>
      <c r="AU29" s="31">
        <v>12</v>
      </c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</row>
    <row r="30" spans="1:61" ht="33" x14ac:dyDescent="0.35">
      <c r="A30" s="31">
        <v>6</v>
      </c>
      <c r="B30" s="31" t="s">
        <v>61</v>
      </c>
      <c r="C30" s="32" t="s">
        <v>62</v>
      </c>
      <c r="D30" s="31">
        <v>2022</v>
      </c>
      <c r="E30" s="31"/>
      <c r="F30" s="43" t="s">
        <v>52</v>
      </c>
      <c r="G30" s="43">
        <v>0</v>
      </c>
      <c r="H30" s="43">
        <v>8.9099999999999999E-2</v>
      </c>
      <c r="I30" s="43">
        <v>6.4999999999999997E-4</v>
      </c>
      <c r="J30" s="34">
        <v>76017542</v>
      </c>
      <c r="K30" s="34">
        <v>6367583606125</v>
      </c>
      <c r="L30" s="34">
        <v>6306535903335</v>
      </c>
      <c r="M30" s="34">
        <v>2526696305277</v>
      </c>
      <c r="N30" s="34">
        <v>265887483966</v>
      </c>
      <c r="O30" s="34">
        <v>135846266277</v>
      </c>
      <c r="P30" s="34">
        <v>87580473882</v>
      </c>
      <c r="Q30" s="34">
        <v>191561590618</v>
      </c>
      <c r="R30" s="34">
        <v>131666018744</v>
      </c>
      <c r="S30" s="34">
        <v>5742973640590</v>
      </c>
      <c r="T30" s="34">
        <v>5909218030678</v>
      </c>
      <c r="U30" s="34">
        <v>9311020405</v>
      </c>
      <c r="V30" s="34">
        <v>62618445874</v>
      </c>
      <c r="W30" s="34">
        <v>6115115193463</v>
      </c>
      <c r="X30" s="31" t="s">
        <v>52</v>
      </c>
      <c r="Y30" s="61" t="s">
        <v>100</v>
      </c>
      <c r="Z30" s="31">
        <v>1</v>
      </c>
      <c r="AA30" s="61" t="s">
        <v>101</v>
      </c>
      <c r="AB30" s="31">
        <v>1</v>
      </c>
      <c r="AC30" s="34">
        <v>117529862884</v>
      </c>
      <c r="AD30" s="34">
        <v>924645232720</v>
      </c>
      <c r="AE30" s="71">
        <v>26804</v>
      </c>
      <c r="AF30" s="31">
        <v>2037574195768</v>
      </c>
      <c r="AG30" s="34">
        <v>1602051072557</v>
      </c>
      <c r="AH30" s="34">
        <v>-543280457340</v>
      </c>
      <c r="AI30" s="34">
        <v>53044284159</v>
      </c>
      <c r="AJ30" s="34">
        <v>-80566280155</v>
      </c>
      <c r="AK30" s="34">
        <v>74549476681</v>
      </c>
      <c r="AL30" s="34">
        <v>128755056886</v>
      </c>
      <c r="AM30" s="34">
        <v>1733807215727</v>
      </c>
      <c r="AN30" s="34">
        <v>1473296015671</v>
      </c>
      <c r="AO30" s="33">
        <v>0.39579999999999999</v>
      </c>
      <c r="AP30" s="34">
        <v>476408772126</v>
      </c>
      <c r="AQ30" s="34">
        <v>-655190672</v>
      </c>
      <c r="AR30" s="31">
        <v>1513</v>
      </c>
      <c r="AS30" s="31">
        <v>1331</v>
      </c>
      <c r="AT30" s="34">
        <v>85780830852</v>
      </c>
      <c r="AU30" s="31">
        <v>13</v>
      </c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</row>
    <row r="31" spans="1:61" ht="33" x14ac:dyDescent="0.35">
      <c r="A31" s="31">
        <v>6</v>
      </c>
      <c r="B31" s="31" t="s">
        <v>61</v>
      </c>
      <c r="C31" s="32" t="s">
        <v>62</v>
      </c>
      <c r="D31" s="31">
        <v>2023</v>
      </c>
      <c r="E31" s="31"/>
      <c r="F31" s="43">
        <v>0.1855</v>
      </c>
      <c r="G31" s="43">
        <v>0</v>
      </c>
      <c r="H31" s="43">
        <v>8.9099999999999999E-2</v>
      </c>
      <c r="I31" s="43">
        <v>2.3900000000000001E-2</v>
      </c>
      <c r="J31" s="34">
        <v>89396463</v>
      </c>
      <c r="K31" s="34">
        <v>7385878456457</v>
      </c>
      <c r="L31" s="34">
        <v>7100782966457</v>
      </c>
      <c r="M31" s="34">
        <v>3657456636415</v>
      </c>
      <c r="N31" s="34">
        <v>307125628529</v>
      </c>
      <c r="O31" s="34">
        <v>112621604633</v>
      </c>
      <c r="P31" s="34">
        <v>86957270455</v>
      </c>
      <c r="Q31" s="34">
        <v>276509171936</v>
      </c>
      <c r="R31" s="34">
        <v>17083869964</v>
      </c>
      <c r="S31" s="34">
        <v>6670530272805</v>
      </c>
      <c r="T31" s="34">
        <v>6828245668302</v>
      </c>
      <c r="U31" s="34">
        <v>8210178475</v>
      </c>
      <c r="V31" s="34">
        <v>70462227321</v>
      </c>
      <c r="W31" s="34">
        <v>7110510296734</v>
      </c>
      <c r="X31" s="31" t="s">
        <v>52</v>
      </c>
      <c r="Y31" s="61" t="s">
        <v>100</v>
      </c>
      <c r="Z31" s="31">
        <v>1</v>
      </c>
      <c r="AA31" s="61" t="s">
        <v>101</v>
      </c>
      <c r="AB31" s="31">
        <v>1</v>
      </c>
      <c r="AC31" s="34">
        <v>44047120594</v>
      </c>
      <c r="AD31" s="34">
        <v>1074657805102</v>
      </c>
      <c r="AE31" s="71">
        <v>29269</v>
      </c>
      <c r="AF31" s="31">
        <v>2616545075547</v>
      </c>
      <c r="AG31" s="34">
        <v>2582798831313</v>
      </c>
      <c r="AH31" s="34">
        <v>-643752878128</v>
      </c>
      <c r="AI31" s="34">
        <v>53127021506</v>
      </c>
      <c r="AJ31" s="34">
        <v>-302908017638</v>
      </c>
      <c r="AK31" s="34">
        <v>61180164578</v>
      </c>
      <c r="AL31" s="34">
        <v>362495133189</v>
      </c>
      <c r="AM31" s="34">
        <v>2591993219472</v>
      </c>
      <c r="AN31" s="34">
        <v>2220303698124</v>
      </c>
      <c r="AO31" s="33">
        <v>0.15989999999999999</v>
      </c>
      <c r="AP31" s="34">
        <v>613891376856</v>
      </c>
      <c r="AQ31" s="34">
        <v>-21429454</v>
      </c>
      <c r="AR31" s="31">
        <v>517</v>
      </c>
      <c r="AS31" s="31">
        <v>1304</v>
      </c>
      <c r="AT31" s="34">
        <v>100037213314</v>
      </c>
      <c r="AU31" s="31">
        <v>14</v>
      </c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</row>
    <row r="32" spans="1:61" ht="33" x14ac:dyDescent="0.35">
      <c r="A32" s="31">
        <v>6</v>
      </c>
      <c r="B32" s="31" t="s">
        <v>61</v>
      </c>
      <c r="C32" s="32" t="s">
        <v>62</v>
      </c>
      <c r="D32" s="31">
        <v>2024</v>
      </c>
      <c r="E32" s="31"/>
      <c r="F32" s="43">
        <v>0.1971</v>
      </c>
      <c r="G32" s="43">
        <v>0</v>
      </c>
      <c r="H32" s="43">
        <v>9.0200000000000002E-2</v>
      </c>
      <c r="I32" s="43">
        <v>3.2599999999999997E-2</v>
      </c>
      <c r="J32" s="34">
        <v>95653859</v>
      </c>
      <c r="K32" s="34">
        <v>8540961690726</v>
      </c>
      <c r="L32" s="34">
        <v>8174074326868</v>
      </c>
      <c r="M32" s="34">
        <v>3917631338920</v>
      </c>
      <c r="N32" s="34">
        <v>344271900792</v>
      </c>
      <c r="O32" s="34">
        <v>138426676792</v>
      </c>
      <c r="P32" s="34">
        <v>86700892376</v>
      </c>
      <c r="Q32" s="34">
        <v>307165929996</v>
      </c>
      <c r="R32" s="34">
        <v>40472906602</v>
      </c>
      <c r="S32" s="34">
        <v>7687809905157</v>
      </c>
      <c r="T32" s="34">
        <v>7700594710760</v>
      </c>
      <c r="U32" s="34">
        <v>9814221009</v>
      </c>
      <c r="V32" s="34">
        <v>84173859029</v>
      </c>
      <c r="W32" s="34">
        <v>8183205377929</v>
      </c>
      <c r="X32" s="31" t="s">
        <v>52</v>
      </c>
      <c r="Y32" s="61" t="s">
        <v>100</v>
      </c>
      <c r="Z32" s="31">
        <v>1</v>
      </c>
      <c r="AA32" s="61" t="s">
        <v>101</v>
      </c>
      <c r="AB32" s="31">
        <v>1</v>
      </c>
      <c r="AC32" s="34">
        <v>47935815171</v>
      </c>
      <c r="AD32" s="34">
        <v>1122512271252</v>
      </c>
      <c r="AE32" s="71">
        <v>21463</v>
      </c>
      <c r="AF32" s="31">
        <v>2053018775717</v>
      </c>
      <c r="AG32" s="34">
        <v>2795119067668</v>
      </c>
      <c r="AH32" s="34">
        <v>-190468783742</v>
      </c>
      <c r="AI32" s="34">
        <v>19202229358</v>
      </c>
      <c r="AJ32" s="34">
        <v>119707952612</v>
      </c>
      <c r="AK32" s="34">
        <v>69029863474</v>
      </c>
      <c r="AL32" s="34">
        <v>377160089085</v>
      </c>
      <c r="AM32" s="34">
        <v>2780516388126</v>
      </c>
      <c r="AN32" s="34">
        <v>2417958978583</v>
      </c>
      <c r="AO32" s="33">
        <v>0.15640000000000001</v>
      </c>
      <c r="AP32" s="34">
        <v>613979287300</v>
      </c>
      <c r="AQ32" s="34">
        <v>-4486498000</v>
      </c>
      <c r="AR32" s="31">
        <v>519</v>
      </c>
      <c r="AS32" s="31">
        <v>226</v>
      </c>
      <c r="AT32" s="34">
        <v>122408998134</v>
      </c>
      <c r="AU32" s="31">
        <v>15</v>
      </c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  <row r="33" spans="1:61" ht="46.5" x14ac:dyDescent="0.35">
      <c r="A33" s="11">
        <v>7</v>
      </c>
      <c r="B33" s="11" t="s">
        <v>63</v>
      </c>
      <c r="C33" s="12" t="s">
        <v>64</v>
      </c>
      <c r="D33" s="11">
        <v>2020</v>
      </c>
      <c r="E33" s="11"/>
      <c r="F33" s="42">
        <v>4.6600000000000003E-2</v>
      </c>
      <c r="G33" s="42">
        <v>0.64959999999999996</v>
      </c>
      <c r="H33" s="42">
        <v>1.5699999999999999E-2</v>
      </c>
      <c r="I33" s="42">
        <v>2.9999999999999997E-4</v>
      </c>
      <c r="J33" s="16">
        <v>22500000</v>
      </c>
      <c r="K33" s="16">
        <v>3257213652230</v>
      </c>
      <c r="L33" s="16">
        <v>3256264345125</v>
      </c>
      <c r="M33" s="16">
        <v>1751237369125</v>
      </c>
      <c r="N33" s="16">
        <v>81032237120</v>
      </c>
      <c r="O33" s="16">
        <v>109525490949</v>
      </c>
      <c r="P33" s="16">
        <v>1295720205</v>
      </c>
      <c r="Q33" s="16">
        <v>657005660894</v>
      </c>
      <c r="R33" s="16">
        <v>70176049475</v>
      </c>
      <c r="S33" s="16">
        <v>1433887870836</v>
      </c>
      <c r="T33" s="16">
        <v>2890134925004</v>
      </c>
      <c r="U33" s="16">
        <v>183730754945</v>
      </c>
      <c r="V33" s="16">
        <v>511194477433</v>
      </c>
      <c r="W33" s="16">
        <v>3038323271126</v>
      </c>
      <c r="X33" s="16" t="s">
        <v>52</v>
      </c>
      <c r="Y33" s="55" t="s">
        <v>95</v>
      </c>
      <c r="Z33" s="16">
        <v>0</v>
      </c>
      <c r="AA33" s="63" t="s">
        <v>95</v>
      </c>
      <c r="AB33" s="11">
        <v>0</v>
      </c>
      <c r="AC33" s="16">
        <v>62238752160</v>
      </c>
      <c r="AD33" s="16">
        <v>477989806976</v>
      </c>
      <c r="AE33" s="70">
        <v>7664</v>
      </c>
      <c r="AF33" s="16">
        <v>172440000000</v>
      </c>
      <c r="AG33" s="16">
        <v>1273247562149</v>
      </c>
      <c r="AH33" s="16">
        <v>163374441150</v>
      </c>
      <c r="AI33" s="16">
        <v>104389090380</v>
      </c>
      <c r="AJ33" s="16">
        <v>-110947699451</v>
      </c>
      <c r="AK33" s="16">
        <v>44218004444</v>
      </c>
      <c r="AL33" s="16">
        <v>326293070887</v>
      </c>
      <c r="AM33" s="16">
        <v>963187373809</v>
      </c>
      <c r="AN33" s="16">
        <v>946954491262</v>
      </c>
      <c r="AO33" s="29">
        <v>-0.23449999999999999</v>
      </c>
      <c r="AP33" s="16">
        <v>514036868557</v>
      </c>
      <c r="AQ33" s="16">
        <v>-56058350947</v>
      </c>
      <c r="AR33" s="16">
        <v>2587</v>
      </c>
      <c r="AS33" s="16">
        <v>9699</v>
      </c>
      <c r="AT33" s="16">
        <v>736529984178</v>
      </c>
      <c r="AU33" s="11">
        <v>59</v>
      </c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</row>
    <row r="34" spans="1:61" ht="46.5" x14ac:dyDescent="0.35">
      <c r="A34" s="11">
        <v>7</v>
      </c>
      <c r="B34" s="11" t="s">
        <v>63</v>
      </c>
      <c r="C34" s="12" t="s">
        <v>64</v>
      </c>
      <c r="D34" s="11">
        <v>2021</v>
      </c>
      <c r="E34" s="11"/>
      <c r="F34" s="42">
        <v>5.8299999999999998E-2</v>
      </c>
      <c r="G34" s="42">
        <v>0.61870000000000003</v>
      </c>
      <c r="H34" s="42">
        <v>1.44E-2</v>
      </c>
      <c r="I34" s="42">
        <v>2.9999999999999997E-4</v>
      </c>
      <c r="J34" s="16">
        <v>23625000</v>
      </c>
      <c r="K34" s="16">
        <v>3863898632011</v>
      </c>
      <c r="L34" s="16">
        <v>3863509584546</v>
      </c>
      <c r="M34" s="16">
        <v>2340764632271</v>
      </c>
      <c r="N34" s="16">
        <v>118787387348</v>
      </c>
      <c r="O34" s="16">
        <v>120010174501</v>
      </c>
      <c r="P34" s="16">
        <v>1865423414</v>
      </c>
      <c r="Q34" s="16">
        <v>684151566947</v>
      </c>
      <c r="R34" s="16">
        <v>218545540121</v>
      </c>
      <c r="S34" s="16">
        <v>1915354798927</v>
      </c>
      <c r="T34" s="16">
        <v>3762778212648</v>
      </c>
      <c r="U34" s="16">
        <v>373904283135</v>
      </c>
      <c r="V34" s="16">
        <v>553309393593</v>
      </c>
      <c r="W34" s="16">
        <v>3736186353494</v>
      </c>
      <c r="X34" s="16" t="s">
        <v>52</v>
      </c>
      <c r="Y34" s="61" t="s">
        <v>100</v>
      </c>
      <c r="Z34" s="16">
        <v>1</v>
      </c>
      <c r="AA34" s="61" t="s">
        <v>101</v>
      </c>
      <c r="AB34" s="11">
        <v>1</v>
      </c>
      <c r="AC34" s="16">
        <v>201452148101</v>
      </c>
      <c r="AD34" s="16">
        <v>653798668682</v>
      </c>
      <c r="AE34" s="70">
        <v>14835</v>
      </c>
      <c r="AF34" s="16">
        <v>350476875000</v>
      </c>
      <c r="AG34" s="16">
        <v>1686965963589</v>
      </c>
      <c r="AH34" s="16">
        <v>14084391613</v>
      </c>
      <c r="AI34" s="16">
        <v>85830740555</v>
      </c>
      <c r="AJ34" s="16">
        <v>-176815862301</v>
      </c>
      <c r="AK34" s="16">
        <v>58586417754</v>
      </c>
      <c r="AL34" s="16">
        <v>312096618293</v>
      </c>
      <c r="AM34" s="16">
        <v>1605615707684</v>
      </c>
      <c r="AN34" s="16">
        <v>1374869345296</v>
      </c>
      <c r="AO34" s="29">
        <v>0.18640000000000001</v>
      </c>
      <c r="AP34" s="16">
        <v>857148182643</v>
      </c>
      <c r="AQ34" s="16">
        <v>-33831798499.999996</v>
      </c>
      <c r="AR34" s="16">
        <v>7894</v>
      </c>
      <c r="AS34" s="16">
        <v>9807</v>
      </c>
      <c r="AT34" s="16">
        <v>670989694477</v>
      </c>
      <c r="AU34" s="11">
        <v>60</v>
      </c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</row>
    <row r="35" spans="1:61" ht="46.5" x14ac:dyDescent="0.35">
      <c r="A35" s="11">
        <v>7</v>
      </c>
      <c r="B35" s="11" t="s">
        <v>63</v>
      </c>
      <c r="C35" s="12" t="s">
        <v>64</v>
      </c>
      <c r="D35" s="11">
        <v>2022</v>
      </c>
      <c r="E35" s="11"/>
      <c r="F35" s="42">
        <v>5.9700000000000003E-2</v>
      </c>
      <c r="G35" s="42">
        <v>0.61870000000000003</v>
      </c>
      <c r="H35" s="42">
        <v>1.4500000000000001E-2</v>
      </c>
      <c r="I35" s="42">
        <v>2.9999999999999997E-4</v>
      </c>
      <c r="J35" s="16">
        <v>30003075</v>
      </c>
      <c r="K35" s="16">
        <v>5178994729409</v>
      </c>
      <c r="L35" s="16">
        <v>5178537895876</v>
      </c>
      <c r="M35" s="16">
        <v>2413126402315</v>
      </c>
      <c r="N35" s="16">
        <v>127250606534</v>
      </c>
      <c r="O35" s="16">
        <v>152319897679</v>
      </c>
      <c r="P35" s="16">
        <v>2467378532</v>
      </c>
      <c r="Q35" s="16">
        <v>876598007730</v>
      </c>
      <c r="R35" s="16">
        <v>352159592391</v>
      </c>
      <c r="S35" s="16">
        <v>2746762361144</v>
      </c>
      <c r="T35" s="16">
        <v>4619985018812</v>
      </c>
      <c r="U35" s="16">
        <v>416214620311</v>
      </c>
      <c r="V35" s="16">
        <v>748803739802</v>
      </c>
      <c r="W35" s="16">
        <v>4954834595979</v>
      </c>
      <c r="X35" s="16" t="s">
        <v>52</v>
      </c>
      <c r="Y35" s="61" t="s">
        <v>100</v>
      </c>
      <c r="Z35" s="16">
        <v>1</v>
      </c>
      <c r="AA35" s="61" t="s">
        <v>101</v>
      </c>
      <c r="AB35" s="11">
        <v>1</v>
      </c>
      <c r="AC35" s="16">
        <v>284986120618</v>
      </c>
      <c r="AD35" s="16">
        <v>901438572938</v>
      </c>
      <c r="AE35" s="70">
        <v>15915</v>
      </c>
      <c r="AF35" s="16">
        <v>477498938625</v>
      </c>
      <c r="AG35" s="16">
        <v>1511687829377</v>
      </c>
      <c r="AH35" s="16">
        <v>204247324116</v>
      </c>
      <c r="AI35" s="16">
        <v>139658530297</v>
      </c>
      <c r="AJ35" s="16">
        <v>-155410562707</v>
      </c>
      <c r="AK35" s="16">
        <v>24500930736</v>
      </c>
      <c r="AL35" s="16">
        <v>273561290205.00003</v>
      </c>
      <c r="AM35" s="16">
        <v>1619067077803</v>
      </c>
      <c r="AN35" s="16">
        <v>1238126539172</v>
      </c>
      <c r="AO35" s="29">
        <v>0.33160000000000001</v>
      </c>
      <c r="AP35" s="16">
        <v>912622775247</v>
      </c>
      <c r="AQ35" s="16">
        <v>-26027744000</v>
      </c>
      <c r="AR35" s="16">
        <v>7146</v>
      </c>
      <c r="AS35" s="16">
        <v>10339</v>
      </c>
      <c r="AT35" s="16">
        <v>700375819420</v>
      </c>
      <c r="AU35" s="11">
        <v>61</v>
      </c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</row>
    <row r="36" spans="1:61" ht="46.5" x14ac:dyDescent="0.35">
      <c r="A36" s="11">
        <v>7</v>
      </c>
      <c r="B36" s="11" t="s">
        <v>63</v>
      </c>
      <c r="C36" s="12" t="s">
        <v>64</v>
      </c>
      <c r="D36" s="11">
        <v>2023</v>
      </c>
      <c r="E36" s="11"/>
      <c r="F36" s="42">
        <v>5.5599999999999997E-2</v>
      </c>
      <c r="G36" s="42">
        <v>0.61870000000000003</v>
      </c>
      <c r="H36" s="42">
        <v>1.18E-2</v>
      </c>
      <c r="I36" s="42">
        <v>2.9999999999999997E-4</v>
      </c>
      <c r="J36" s="16">
        <v>36002708</v>
      </c>
      <c r="K36" s="16">
        <v>4703966718679</v>
      </c>
      <c r="L36" s="16">
        <v>4700209574052</v>
      </c>
      <c r="M36" s="16">
        <v>2507720745464</v>
      </c>
      <c r="N36" s="16">
        <v>84105696267</v>
      </c>
      <c r="O36" s="16">
        <v>158353864802</v>
      </c>
      <c r="P36" s="16">
        <v>1864249216</v>
      </c>
      <c r="Q36" s="16">
        <v>704369690325</v>
      </c>
      <c r="R36" s="16">
        <v>206841907687</v>
      </c>
      <c r="S36" s="16">
        <v>2371039795168</v>
      </c>
      <c r="T36" s="16">
        <v>4121411386414</v>
      </c>
      <c r="U36" s="16">
        <v>336696888370</v>
      </c>
      <c r="V36" s="16">
        <v>580415634787</v>
      </c>
      <c r="W36" s="16">
        <v>4348244727092</v>
      </c>
      <c r="X36" s="16" t="s">
        <v>52</v>
      </c>
      <c r="Y36" s="61" t="s">
        <v>100</v>
      </c>
      <c r="Z36" s="16">
        <v>1</v>
      </c>
      <c r="AA36" s="61" t="s">
        <v>101</v>
      </c>
      <c r="AB36" s="11">
        <v>1</v>
      </c>
      <c r="AC36" s="16">
        <v>169873401958</v>
      </c>
      <c r="AD36" s="16">
        <v>836806035780</v>
      </c>
      <c r="AE36" s="70">
        <v>26079</v>
      </c>
      <c r="AF36" s="16">
        <v>938914621932</v>
      </c>
      <c r="AG36" s="16">
        <v>1670914709684</v>
      </c>
      <c r="AH36" s="16">
        <v>364690740295</v>
      </c>
      <c r="AI36" s="16">
        <v>94061016664</v>
      </c>
      <c r="AJ36" s="16">
        <v>-120230820716</v>
      </c>
      <c r="AK36" s="16">
        <v>210985575944</v>
      </c>
      <c r="AL36" s="16">
        <v>229450029601</v>
      </c>
      <c r="AM36" s="16">
        <v>1761375593537</v>
      </c>
      <c r="AN36" s="16">
        <v>1441464680083</v>
      </c>
      <c r="AO36" s="29">
        <v>-9.2399999999999996E-2</v>
      </c>
      <c r="AP36" s="16">
        <v>765957784829</v>
      </c>
      <c r="AQ36" s="16">
        <v>-120499545500</v>
      </c>
      <c r="AR36" s="16">
        <v>4444</v>
      </c>
      <c r="AS36" s="16">
        <v>10133</v>
      </c>
      <c r="AT36" s="16">
        <v>663880001252</v>
      </c>
      <c r="AU36" s="11">
        <v>62</v>
      </c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</row>
    <row r="37" spans="1:61" ht="46.5" x14ac:dyDescent="0.35">
      <c r="A37" s="11">
        <v>7</v>
      </c>
      <c r="B37" s="11" t="s">
        <v>63</v>
      </c>
      <c r="C37" s="12" t="s">
        <v>64</v>
      </c>
      <c r="D37" s="11">
        <v>2024</v>
      </c>
      <c r="E37" s="11"/>
      <c r="F37" s="42">
        <v>7.9399999999999998E-2</v>
      </c>
      <c r="G37" s="42">
        <v>0.61870000000000003</v>
      </c>
      <c r="H37" s="42">
        <v>1.18E-2</v>
      </c>
      <c r="I37" s="42">
        <v>2.0000000000000001E-4</v>
      </c>
      <c r="J37" s="16">
        <v>36002708</v>
      </c>
      <c r="K37" s="16">
        <v>5111153311349</v>
      </c>
      <c r="L37" s="16">
        <v>5102928678811</v>
      </c>
      <c r="M37" s="16">
        <v>2922215616846</v>
      </c>
      <c r="N37" s="16">
        <v>109491732853</v>
      </c>
      <c r="O37" s="16">
        <v>181620716393</v>
      </c>
      <c r="P37" s="16">
        <v>1552068481</v>
      </c>
      <c r="Q37" s="16">
        <v>751263285787</v>
      </c>
      <c r="R37" s="16">
        <v>334518451106</v>
      </c>
      <c r="S37" s="16">
        <v>2632163898063</v>
      </c>
      <c r="T37" s="16">
        <v>4532814507529</v>
      </c>
      <c r="U37" s="16">
        <v>338134768457</v>
      </c>
      <c r="V37" s="16">
        <v>625961594773</v>
      </c>
      <c r="W37" s="16">
        <v>4762014816728</v>
      </c>
      <c r="X37" s="16" t="s">
        <v>52</v>
      </c>
      <c r="Y37" s="61" t="s">
        <v>100</v>
      </c>
      <c r="Z37" s="16">
        <v>1</v>
      </c>
      <c r="AA37" s="61" t="s">
        <v>101</v>
      </c>
      <c r="AB37" s="11">
        <v>1</v>
      </c>
      <c r="AC37" s="16">
        <v>282504099078</v>
      </c>
      <c r="AD37" s="16">
        <v>923964139539</v>
      </c>
      <c r="AE37" s="70">
        <v>45414</v>
      </c>
      <c r="AF37" s="16">
        <v>1635026981112</v>
      </c>
      <c r="AG37" s="16">
        <v>1998251477307</v>
      </c>
      <c r="AH37" s="16">
        <v>389669316046</v>
      </c>
      <c r="AI37" s="16">
        <v>184586053935</v>
      </c>
      <c r="AJ37" s="16">
        <v>-226855870926</v>
      </c>
      <c r="AK37" s="16">
        <v>467127892045</v>
      </c>
      <c r="AL37" s="16">
        <v>208174685985</v>
      </c>
      <c r="AM37" s="16">
        <v>2095059428168</v>
      </c>
      <c r="AN37" s="16">
        <v>1790076791322</v>
      </c>
      <c r="AO37" s="29">
        <v>8.5699999999999998E-2</v>
      </c>
      <c r="AP37" s="16">
        <v>788055765802</v>
      </c>
      <c r="AQ37" s="16">
        <v>-159880227000</v>
      </c>
      <c r="AR37" s="16">
        <v>6634</v>
      </c>
      <c r="AS37" s="16">
        <v>9631</v>
      </c>
      <c r="AT37" s="16">
        <v>741857629190</v>
      </c>
      <c r="AU37" s="11">
        <v>63</v>
      </c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</row>
    <row r="38" spans="1:61" ht="33" x14ac:dyDescent="0.35">
      <c r="A38" s="31">
        <v>8</v>
      </c>
      <c r="B38" s="31" t="s">
        <v>65</v>
      </c>
      <c r="C38" s="32" t="s">
        <v>66</v>
      </c>
      <c r="D38" s="31">
        <v>2020</v>
      </c>
      <c r="E38" s="31"/>
      <c r="F38" s="33">
        <v>0.1070004</v>
      </c>
      <c r="G38" s="43">
        <v>0</v>
      </c>
      <c r="H38" s="44" t="s">
        <v>52</v>
      </c>
      <c r="I38" s="43">
        <v>3.0999999999999999E-3</v>
      </c>
      <c r="J38" s="34">
        <v>91107067</v>
      </c>
      <c r="K38" s="34">
        <v>5562192633629</v>
      </c>
      <c r="L38" s="34">
        <v>5360118267509</v>
      </c>
      <c r="M38" s="34">
        <v>4504778128346</v>
      </c>
      <c r="N38" s="34">
        <v>291082539110</v>
      </c>
      <c r="O38" s="34">
        <v>144868999019</v>
      </c>
      <c r="P38" s="34">
        <v>16206317738</v>
      </c>
      <c r="Q38" s="34">
        <v>437503691801</v>
      </c>
      <c r="R38" s="34">
        <v>124370321543</v>
      </c>
      <c r="S38" s="34">
        <v>2434804598013</v>
      </c>
      <c r="T38" s="34">
        <v>4648590578635</v>
      </c>
      <c r="U38" s="34">
        <v>9379090284</v>
      </c>
      <c r="V38" s="34">
        <v>248641746139</v>
      </c>
      <c r="W38" s="34">
        <v>3137918952870</v>
      </c>
      <c r="X38" s="34" t="s">
        <v>52</v>
      </c>
      <c r="Y38" s="61" t="s">
        <v>100</v>
      </c>
      <c r="Z38" s="31">
        <v>1</v>
      </c>
      <c r="AA38" s="61" t="s">
        <v>101</v>
      </c>
      <c r="AB38" s="31">
        <v>1</v>
      </c>
      <c r="AC38" s="34">
        <v>89506808314</v>
      </c>
      <c r="AD38" s="34">
        <v>1322729831815</v>
      </c>
      <c r="AE38" s="69">
        <v>6302</v>
      </c>
      <c r="AF38" s="31">
        <v>574156736234</v>
      </c>
      <c r="AG38" s="34">
        <v>3182048296531</v>
      </c>
      <c r="AH38" s="34">
        <v>252808170755</v>
      </c>
      <c r="AI38" s="34">
        <v>166640222844</v>
      </c>
      <c r="AJ38" s="34">
        <v>-138919664588</v>
      </c>
      <c r="AK38" s="34">
        <v>227057158023</v>
      </c>
      <c r="AL38" s="34">
        <v>213104392151</v>
      </c>
      <c r="AM38" s="34">
        <v>3424719897446</v>
      </c>
      <c r="AN38" s="34">
        <v>2968943904380</v>
      </c>
      <c r="AO38" s="33">
        <v>0.11</v>
      </c>
      <c r="AP38" s="34">
        <v>1053176293319</v>
      </c>
      <c r="AQ38" s="34">
        <v>-43384660500</v>
      </c>
      <c r="AR38" s="34">
        <v>484</v>
      </c>
      <c r="AS38" s="34">
        <v>1825</v>
      </c>
      <c r="AT38" s="34">
        <v>675971484182</v>
      </c>
      <c r="AU38" s="34">
        <v>22</v>
      </c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</row>
    <row r="39" spans="1:61" ht="33" x14ac:dyDescent="0.35">
      <c r="A39" s="31">
        <v>8</v>
      </c>
      <c r="B39" s="31" t="s">
        <v>65</v>
      </c>
      <c r="C39" s="32" t="s">
        <v>66</v>
      </c>
      <c r="D39" s="31">
        <v>2021</v>
      </c>
      <c r="E39" s="31"/>
      <c r="F39" s="31" t="s">
        <v>52</v>
      </c>
      <c r="G39" s="43">
        <v>0</v>
      </c>
      <c r="H39" s="44" t="s">
        <v>52</v>
      </c>
      <c r="I39" s="43">
        <v>1.8E-3</v>
      </c>
      <c r="J39" s="34">
        <v>100216847</v>
      </c>
      <c r="K39" s="34">
        <v>7260803805751</v>
      </c>
      <c r="L39" s="34">
        <v>7074612696137</v>
      </c>
      <c r="M39" s="34">
        <v>5907405173007</v>
      </c>
      <c r="N39" s="34">
        <v>364726161774</v>
      </c>
      <c r="O39" s="34">
        <v>163348079606</v>
      </c>
      <c r="P39" s="34">
        <v>16218735917</v>
      </c>
      <c r="Q39" s="34">
        <v>671751424453</v>
      </c>
      <c r="R39" s="34">
        <v>182474832684</v>
      </c>
      <c r="S39" s="34">
        <v>4118734810823</v>
      </c>
      <c r="T39" s="34">
        <v>6776027288866</v>
      </c>
      <c r="U39" s="34">
        <v>11857256247</v>
      </c>
      <c r="V39" s="34">
        <v>409162884273</v>
      </c>
      <c r="W39" s="34">
        <v>5102354629120</v>
      </c>
      <c r="X39" s="34" t="s">
        <v>52</v>
      </c>
      <c r="Y39" s="61" t="s">
        <v>100</v>
      </c>
      <c r="Z39" s="31">
        <v>1</v>
      </c>
      <c r="AA39" s="61" t="s">
        <v>101</v>
      </c>
      <c r="AB39" s="31">
        <v>1</v>
      </c>
      <c r="AC39" s="34">
        <v>136682299581</v>
      </c>
      <c r="AD39" s="34">
        <v>1364398057274</v>
      </c>
      <c r="AE39" s="69">
        <v>13851</v>
      </c>
      <c r="AF39" s="31">
        <v>1388103547797</v>
      </c>
      <c r="AG39" s="34">
        <v>4543007115733</v>
      </c>
      <c r="AH39" s="34">
        <v>-230055620364</v>
      </c>
      <c r="AI39" s="34">
        <v>105449428561</v>
      </c>
      <c r="AJ39" s="34">
        <v>-211633173173</v>
      </c>
      <c r="AK39" s="34">
        <v>173879995491</v>
      </c>
      <c r="AL39" s="34">
        <v>480143513942</v>
      </c>
      <c r="AM39" s="34">
        <v>4657232545178</v>
      </c>
      <c r="AN39" s="34">
        <v>4062863601791</v>
      </c>
      <c r="AO39" s="33">
        <v>0.31</v>
      </c>
      <c r="AP39" s="34">
        <v>1628148408354</v>
      </c>
      <c r="AQ39" s="34">
        <v>-78871947353</v>
      </c>
      <c r="AR39" s="34">
        <v>888</v>
      </c>
      <c r="AS39" s="34">
        <v>2118</v>
      </c>
      <c r="AT39" s="34">
        <v>654778448711</v>
      </c>
      <c r="AU39" s="34">
        <v>23</v>
      </c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</row>
    <row r="40" spans="1:61" ht="33" x14ac:dyDescent="0.35">
      <c r="A40" s="31">
        <v>8</v>
      </c>
      <c r="B40" s="31" t="s">
        <v>65</v>
      </c>
      <c r="C40" s="32" t="s">
        <v>66</v>
      </c>
      <c r="D40" s="31">
        <v>2022</v>
      </c>
      <c r="E40" s="31"/>
      <c r="F40" s="31" t="s">
        <v>52</v>
      </c>
      <c r="G40" s="43">
        <v>0</v>
      </c>
      <c r="H40" s="44" t="s">
        <v>52</v>
      </c>
      <c r="I40" s="43">
        <v>1.1000000000000001E-3</v>
      </c>
      <c r="J40" s="34">
        <v>169950000</v>
      </c>
      <c r="K40" s="34">
        <v>8214248495304</v>
      </c>
      <c r="L40" s="34">
        <v>7977478885843</v>
      </c>
      <c r="M40" s="34">
        <v>7330796432276</v>
      </c>
      <c r="N40" s="34">
        <v>351669824574</v>
      </c>
      <c r="O40" s="34">
        <v>176952473742</v>
      </c>
      <c r="P40" s="34">
        <v>15437763094</v>
      </c>
      <c r="Q40" s="34">
        <v>625678770302</v>
      </c>
      <c r="R40" s="34">
        <v>122308079279</v>
      </c>
      <c r="S40" s="34">
        <v>4430399812061</v>
      </c>
      <c r="T40" s="34">
        <v>7182355022678</v>
      </c>
      <c r="U40" s="34">
        <v>22580435797</v>
      </c>
      <c r="V40" s="34">
        <v>370535259815</v>
      </c>
      <c r="W40" s="34">
        <v>5350753584504</v>
      </c>
      <c r="X40" s="34" t="s">
        <v>52</v>
      </c>
      <c r="Y40" s="61" t="s">
        <v>100</v>
      </c>
      <c r="Z40" s="31">
        <v>1</v>
      </c>
      <c r="AA40" s="61" t="s">
        <v>101</v>
      </c>
      <c r="AB40" s="31">
        <v>1</v>
      </c>
      <c r="AC40" s="34">
        <v>87256493352</v>
      </c>
      <c r="AD40" s="34">
        <v>1960441341303</v>
      </c>
      <c r="AE40" s="69">
        <v>14233</v>
      </c>
      <c r="AF40" s="31">
        <v>2418898350000</v>
      </c>
      <c r="AG40" s="34">
        <v>5370355090973</v>
      </c>
      <c r="AH40" s="34">
        <v>-192271781692</v>
      </c>
      <c r="AI40" s="34">
        <v>1136108307172</v>
      </c>
      <c r="AJ40" s="34">
        <v>-1147711098452</v>
      </c>
      <c r="AK40" s="34">
        <v>183916538854</v>
      </c>
      <c r="AL40" s="34">
        <v>603329041033</v>
      </c>
      <c r="AM40" s="34">
        <v>5592427754449</v>
      </c>
      <c r="AN40" s="34">
        <v>4767026049940</v>
      </c>
      <c r="AO40" s="33">
        <v>0.13</v>
      </c>
      <c r="AP40" s="34">
        <v>1734810426539</v>
      </c>
      <c r="AQ40" s="34">
        <v>-20287730993</v>
      </c>
      <c r="AR40" s="34">
        <v>382</v>
      </c>
      <c r="AS40" s="34">
        <v>2075</v>
      </c>
      <c r="AT40" s="34">
        <v>675288798218</v>
      </c>
      <c r="AU40" s="34">
        <v>24</v>
      </c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</row>
    <row r="41" spans="1:61" ht="33" x14ac:dyDescent="0.35">
      <c r="A41" s="31">
        <v>8</v>
      </c>
      <c r="B41" s="31" t="s">
        <v>65</v>
      </c>
      <c r="C41" s="32" t="s">
        <v>66</v>
      </c>
      <c r="D41" s="31">
        <v>2023</v>
      </c>
      <c r="E41" s="31"/>
      <c r="F41" s="33">
        <v>0.1070004</v>
      </c>
      <c r="G41" s="43">
        <v>0</v>
      </c>
      <c r="H41" s="44" t="s">
        <v>52</v>
      </c>
      <c r="I41" s="43">
        <v>1.1000000000000001E-3</v>
      </c>
      <c r="J41" s="34">
        <v>161857589</v>
      </c>
      <c r="K41" s="34">
        <v>9780654605019</v>
      </c>
      <c r="L41" s="34">
        <v>9605345279055</v>
      </c>
      <c r="M41" s="34">
        <v>7581785262691</v>
      </c>
      <c r="N41" s="34">
        <v>287175971417</v>
      </c>
      <c r="O41" s="34">
        <v>162017630666</v>
      </c>
      <c r="P41" s="34">
        <v>452109308921</v>
      </c>
      <c r="Q41" s="34">
        <v>497601536674</v>
      </c>
      <c r="R41" s="34">
        <v>106659640926</v>
      </c>
      <c r="S41" s="34">
        <v>4555396761526</v>
      </c>
      <c r="T41" s="34">
        <v>8252436606917</v>
      </c>
      <c r="U41" s="34">
        <v>7288412410</v>
      </c>
      <c r="V41" s="34">
        <v>297374498914</v>
      </c>
      <c r="W41" s="34">
        <v>5304688472699</v>
      </c>
      <c r="X41" s="34" t="s">
        <v>52</v>
      </c>
      <c r="Y41" s="61" t="s">
        <v>100</v>
      </c>
      <c r="Z41" s="31">
        <v>1</v>
      </c>
      <c r="AA41" s="61" t="s">
        <v>101</v>
      </c>
      <c r="AB41" s="31">
        <v>1</v>
      </c>
      <c r="AC41" s="34">
        <v>59089568364</v>
      </c>
      <c r="AD41" s="34">
        <v>2007417766420</v>
      </c>
      <c r="AE41" s="69">
        <v>12948</v>
      </c>
      <c r="AF41" s="31">
        <v>2095732062372</v>
      </c>
      <c r="AG41" s="34">
        <v>5574367496271</v>
      </c>
      <c r="AH41" s="34">
        <v>236404715440</v>
      </c>
      <c r="AI41" s="34">
        <v>388648753318</v>
      </c>
      <c r="AJ41" s="34">
        <v>-432535712977</v>
      </c>
      <c r="AK41" s="34">
        <v>79184958927</v>
      </c>
      <c r="AL41" s="34">
        <v>710604022691</v>
      </c>
      <c r="AM41" s="34">
        <v>5610598077038</v>
      </c>
      <c r="AN41" s="34">
        <v>4863763473580</v>
      </c>
      <c r="AO41" s="33">
        <v>0.19069378173919355</v>
      </c>
      <c r="AP41" s="34">
        <v>1218736777919</v>
      </c>
      <c r="AQ41" s="34">
        <v>-4275211087</v>
      </c>
      <c r="AR41" s="34">
        <v>102</v>
      </c>
      <c r="AS41" s="34">
        <v>477</v>
      </c>
      <c r="AT41" s="34">
        <v>623335763659</v>
      </c>
      <c r="AU41" s="34">
        <v>25</v>
      </c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</row>
    <row r="42" spans="1:61" ht="33" x14ac:dyDescent="0.35">
      <c r="A42" s="31">
        <v>8</v>
      </c>
      <c r="B42" s="31" t="s">
        <v>65</v>
      </c>
      <c r="C42" s="32" t="s">
        <v>66</v>
      </c>
      <c r="D42" s="31">
        <v>2024</v>
      </c>
      <c r="E42" s="31"/>
      <c r="F42" s="33">
        <v>0.1070004</v>
      </c>
      <c r="G42" s="43">
        <v>0</v>
      </c>
      <c r="H42" s="43">
        <v>0.18509999999999999</v>
      </c>
      <c r="I42" s="43">
        <v>3.0999999999999999E-3</v>
      </c>
      <c r="J42" s="34">
        <v>161857589</v>
      </c>
      <c r="K42" s="34">
        <v>11425650934981</v>
      </c>
      <c r="L42" s="34">
        <v>11257066116591</v>
      </c>
      <c r="M42" s="34">
        <v>9453438472289</v>
      </c>
      <c r="N42" s="34">
        <v>379011339754</v>
      </c>
      <c r="O42" s="34">
        <v>181975504820</v>
      </c>
      <c r="P42" s="34">
        <v>487027783731</v>
      </c>
      <c r="Q42" s="34">
        <v>596787025980</v>
      </c>
      <c r="R42" s="34">
        <v>112998492416</v>
      </c>
      <c r="S42" s="34">
        <v>3556891225184</v>
      </c>
      <c r="T42" s="34">
        <v>10467193627660</v>
      </c>
      <c r="U42" s="34">
        <v>4380576881</v>
      </c>
      <c r="V42" s="34">
        <v>425822642721</v>
      </c>
      <c r="W42" s="34">
        <v>4412710904632</v>
      </c>
      <c r="X42" s="34" t="s">
        <v>52</v>
      </c>
      <c r="Y42" s="61" t="s">
        <v>100</v>
      </c>
      <c r="Z42" s="31">
        <v>1</v>
      </c>
      <c r="AA42" s="61" t="s">
        <v>101</v>
      </c>
      <c r="AB42" s="31">
        <v>1</v>
      </c>
      <c r="AC42" s="34">
        <v>108368553705</v>
      </c>
      <c r="AD42" s="34">
        <v>2102297644325</v>
      </c>
      <c r="AE42" s="69">
        <v>14995</v>
      </c>
      <c r="AF42" s="31">
        <v>2427054547055</v>
      </c>
      <c r="AG42" s="34">
        <v>7351140827964</v>
      </c>
      <c r="AH42" s="34">
        <v>8469076922</v>
      </c>
      <c r="AI42" s="34">
        <v>639204234602</v>
      </c>
      <c r="AJ42" s="34">
        <v>-578804901047</v>
      </c>
      <c r="AK42" s="34">
        <v>102786809902</v>
      </c>
      <c r="AL42" s="34">
        <v>1002370077404</v>
      </c>
      <c r="AM42" s="34">
        <v>7267564574280</v>
      </c>
      <c r="AN42" s="34">
        <v>6348770750560</v>
      </c>
      <c r="AO42" s="33">
        <v>0.16818877635428006</v>
      </c>
      <c r="AP42" s="34">
        <v>1380176539305</v>
      </c>
      <c r="AQ42" s="34">
        <v>-1931380994</v>
      </c>
      <c r="AR42" s="34">
        <v>476</v>
      </c>
      <c r="AS42" s="34">
        <v>1641</v>
      </c>
      <c r="AT42" s="34">
        <v>558110267811</v>
      </c>
      <c r="AU42" s="34">
        <v>26</v>
      </c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</row>
    <row r="43" spans="1:61" ht="46.5" x14ac:dyDescent="0.35">
      <c r="A43" s="11">
        <v>9</v>
      </c>
      <c r="B43" s="11" t="s">
        <v>67</v>
      </c>
      <c r="C43" s="12" t="s">
        <v>68</v>
      </c>
      <c r="D43" s="11">
        <v>2020</v>
      </c>
      <c r="E43" s="11"/>
      <c r="F43" s="45">
        <v>0.3397</v>
      </c>
      <c r="G43" s="45" t="s">
        <v>52</v>
      </c>
      <c r="H43" s="45">
        <v>1E-4</v>
      </c>
      <c r="I43" s="45">
        <v>1.9699999999999999E-2</v>
      </c>
      <c r="J43" s="17">
        <v>5236023</v>
      </c>
      <c r="K43" s="17">
        <v>376790734834</v>
      </c>
      <c r="L43" s="17">
        <v>375710311234</v>
      </c>
      <c r="M43" s="17">
        <v>116246847630</v>
      </c>
      <c r="N43" s="17">
        <v>8980366564</v>
      </c>
      <c r="O43" s="17">
        <v>23731375160</v>
      </c>
      <c r="P43" s="17">
        <v>27810484</v>
      </c>
      <c r="Q43" s="17">
        <v>27091705363</v>
      </c>
      <c r="R43" s="22">
        <v>36387227378</v>
      </c>
      <c r="S43" s="22">
        <v>278628081342</v>
      </c>
      <c r="T43" s="17">
        <v>302102151441</v>
      </c>
      <c r="U43" s="17">
        <v>1048296168</v>
      </c>
      <c r="V43" s="17">
        <v>15632133419</v>
      </c>
      <c r="W43" s="17">
        <v>334234670383</v>
      </c>
      <c r="X43" s="19" t="s">
        <v>52</v>
      </c>
      <c r="Y43" s="55" t="s">
        <v>95</v>
      </c>
      <c r="Z43" s="19">
        <v>0</v>
      </c>
      <c r="AA43" s="61" t="s">
        <v>101</v>
      </c>
      <c r="AB43" s="19">
        <v>1</v>
      </c>
      <c r="AC43" s="17">
        <v>30116336512</v>
      </c>
      <c r="AD43" s="17">
        <v>85879995347</v>
      </c>
      <c r="AE43" s="73">
        <v>10092</v>
      </c>
      <c r="AF43" s="17">
        <v>52841944116</v>
      </c>
      <c r="AG43" s="17">
        <v>30366852283</v>
      </c>
      <c r="AH43" s="17">
        <v>27704014283</v>
      </c>
      <c r="AI43" s="17">
        <v>21261736964</v>
      </c>
      <c r="AJ43" s="17">
        <v>-20290696497</v>
      </c>
      <c r="AK43" s="17">
        <v>39632790637</v>
      </c>
      <c r="AL43" s="17">
        <v>26850000</v>
      </c>
      <c r="AM43" s="17">
        <v>76364131676</v>
      </c>
      <c r="AN43" s="17">
        <v>30366852283</v>
      </c>
      <c r="AO43" s="45">
        <v>-0.15110000000000001</v>
      </c>
      <c r="AP43" s="17">
        <v>11505873997</v>
      </c>
      <c r="AQ43" s="17">
        <v>-18326080500</v>
      </c>
      <c r="AR43" s="17">
        <v>5292</v>
      </c>
      <c r="AS43" s="19">
        <v>500</v>
      </c>
      <c r="AT43" s="17">
        <v>23881820663</v>
      </c>
      <c r="AU43" s="19">
        <v>48</v>
      </c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</row>
    <row r="44" spans="1:61" ht="46.5" x14ac:dyDescent="0.35">
      <c r="A44" s="11">
        <v>9</v>
      </c>
      <c r="B44" s="11" t="s">
        <v>67</v>
      </c>
      <c r="C44" s="12" t="s">
        <v>68</v>
      </c>
      <c r="D44" s="11">
        <v>2021</v>
      </c>
      <c r="E44" s="11"/>
      <c r="F44" s="45">
        <v>0.34289999999999998</v>
      </c>
      <c r="G44" s="45" t="s">
        <v>52</v>
      </c>
      <c r="H44" s="45">
        <v>1E-4</v>
      </c>
      <c r="I44" s="45">
        <v>1.8100000000000002E-2</v>
      </c>
      <c r="J44" s="17">
        <v>5236023</v>
      </c>
      <c r="K44" s="17">
        <v>519482152543</v>
      </c>
      <c r="L44" s="17">
        <v>517968805443</v>
      </c>
      <c r="M44" s="17">
        <v>152685948977</v>
      </c>
      <c r="N44" s="17">
        <v>12454302686</v>
      </c>
      <c r="O44" s="17">
        <v>17777272058</v>
      </c>
      <c r="P44" s="19">
        <v>0</v>
      </c>
      <c r="Q44" s="17">
        <v>31312923205</v>
      </c>
      <c r="R44" s="22">
        <v>67053910352</v>
      </c>
      <c r="S44" s="17">
        <v>366202921153</v>
      </c>
      <c r="T44" s="17">
        <v>423831383474</v>
      </c>
      <c r="U44" s="17">
        <v>2062836822</v>
      </c>
      <c r="V44" s="17">
        <v>15470866261</v>
      </c>
      <c r="W44" s="17">
        <v>421038532251</v>
      </c>
      <c r="X44" s="19" t="s">
        <v>52</v>
      </c>
      <c r="Y44" s="55" t="s">
        <v>95</v>
      </c>
      <c r="Z44" s="19">
        <v>0</v>
      </c>
      <c r="AA44" s="61" t="s">
        <v>101</v>
      </c>
      <c r="AB44" s="19">
        <v>1</v>
      </c>
      <c r="AC44" s="17">
        <v>57251127630</v>
      </c>
      <c r="AD44" s="17">
        <v>119476560691</v>
      </c>
      <c r="AE44" s="73">
        <v>24354</v>
      </c>
      <c r="AF44" s="17">
        <v>127517504142</v>
      </c>
      <c r="AG44" s="17">
        <v>33209388286</v>
      </c>
      <c r="AH44" s="17">
        <v>82442432104</v>
      </c>
      <c r="AI44" s="17">
        <v>22894718442</v>
      </c>
      <c r="AJ44" s="17">
        <v>-22183647577</v>
      </c>
      <c r="AK44" s="17">
        <v>78943429566</v>
      </c>
      <c r="AL44" s="17">
        <v>26850000</v>
      </c>
      <c r="AM44" s="17">
        <v>100667134097</v>
      </c>
      <c r="AN44" s="17">
        <v>33182538286</v>
      </c>
      <c r="AO44" s="45">
        <v>0.37869999999999998</v>
      </c>
      <c r="AP44" s="17">
        <v>15167059038</v>
      </c>
      <c r="AQ44" s="17">
        <v>-20944092000</v>
      </c>
      <c r="AR44" s="17">
        <v>10059</v>
      </c>
      <c r="AS44" s="19">
        <v>603</v>
      </c>
      <c r="AT44" s="17">
        <v>47842022151</v>
      </c>
      <c r="AU44" s="19">
        <v>49</v>
      </c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</row>
    <row r="45" spans="1:61" ht="46.5" x14ac:dyDescent="0.35">
      <c r="A45" s="11">
        <v>9</v>
      </c>
      <c r="B45" s="11" t="s">
        <v>67</v>
      </c>
      <c r="C45" s="12" t="s">
        <v>68</v>
      </c>
      <c r="D45" s="11">
        <v>2022</v>
      </c>
      <c r="E45" s="11"/>
      <c r="F45" s="45">
        <v>0.23730000000000001</v>
      </c>
      <c r="G45" s="45" t="s">
        <v>52</v>
      </c>
      <c r="H45" s="45">
        <v>6.9999999999999994E-5</v>
      </c>
      <c r="I45" s="45">
        <v>6.0000000000000001E-3</v>
      </c>
      <c r="J45" s="17">
        <v>7853968</v>
      </c>
      <c r="K45" s="17">
        <v>657022543534</v>
      </c>
      <c r="L45" s="22">
        <v>657022543534</v>
      </c>
      <c r="M45" s="22">
        <v>233020523972</v>
      </c>
      <c r="N45" s="22">
        <v>30647257188</v>
      </c>
      <c r="O45" s="17">
        <v>22357549443</v>
      </c>
      <c r="P45" s="19">
        <v>0</v>
      </c>
      <c r="Q45" s="17">
        <v>70626489242</v>
      </c>
      <c r="R45" s="22">
        <v>127616734141</v>
      </c>
      <c r="S45" s="22">
        <v>384554576757</v>
      </c>
      <c r="T45" s="17">
        <v>480954638305</v>
      </c>
      <c r="U45" s="17">
        <v>2500844390</v>
      </c>
      <c r="V45" s="17">
        <v>40187278972</v>
      </c>
      <c r="W45" s="17">
        <v>532813804308</v>
      </c>
      <c r="X45" s="19" t="s">
        <v>52</v>
      </c>
      <c r="Y45" s="55" t="s">
        <v>95</v>
      </c>
      <c r="Z45" s="19">
        <v>0</v>
      </c>
      <c r="AA45" s="61" t="s">
        <v>101</v>
      </c>
      <c r="AB45" s="19">
        <v>1</v>
      </c>
      <c r="AC45" s="17">
        <v>106050406628</v>
      </c>
      <c r="AD45" s="17">
        <v>194194250832</v>
      </c>
      <c r="AE45" s="73">
        <v>31805</v>
      </c>
      <c r="AF45" s="17">
        <v>249795452240</v>
      </c>
      <c r="AG45" s="17">
        <v>38826273140</v>
      </c>
      <c r="AH45" s="17">
        <v>104750970132</v>
      </c>
      <c r="AI45" s="17">
        <v>5335741467</v>
      </c>
      <c r="AJ45" s="17">
        <v>-4350864597</v>
      </c>
      <c r="AK45" s="17">
        <v>153562737459</v>
      </c>
      <c r="AL45" s="17">
        <v>26850000</v>
      </c>
      <c r="AM45" s="22">
        <v>188515183067</v>
      </c>
      <c r="AN45" s="22">
        <v>38799423140</v>
      </c>
      <c r="AO45" s="46">
        <v>0.26479999999999998</v>
      </c>
      <c r="AP45" s="22">
        <v>17146104503</v>
      </c>
      <c r="AQ45" s="17">
        <v>-26180115000</v>
      </c>
      <c r="AR45" s="17">
        <v>12558</v>
      </c>
      <c r="AS45" s="19">
        <v>542</v>
      </c>
      <c r="AT45" s="17">
        <v>38021917787</v>
      </c>
      <c r="AU45" s="19">
        <v>50</v>
      </c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</row>
    <row r="46" spans="1:61" ht="46.5" x14ac:dyDescent="0.35">
      <c r="A46" s="11">
        <v>9</v>
      </c>
      <c r="B46" s="11" t="s">
        <v>67</v>
      </c>
      <c r="C46" s="12" t="s">
        <v>68</v>
      </c>
      <c r="D46" s="11">
        <v>2023</v>
      </c>
      <c r="E46" s="11"/>
      <c r="F46" s="45">
        <v>0.23910000000000001</v>
      </c>
      <c r="G46" s="45" t="s">
        <v>52</v>
      </c>
      <c r="H46" s="45">
        <f>0.0076</f>
        <v>7.6E-3</v>
      </c>
      <c r="I46" s="45">
        <v>1.2200000000000001E-2</v>
      </c>
      <c r="J46" s="17">
        <v>10052920</v>
      </c>
      <c r="K46" s="17">
        <v>612296635735</v>
      </c>
      <c r="L46" s="17">
        <v>611388119235</v>
      </c>
      <c r="M46" s="17">
        <v>292173826555</v>
      </c>
      <c r="N46" s="17">
        <v>34064689216</v>
      </c>
      <c r="O46" s="17">
        <v>23534193568</v>
      </c>
      <c r="P46" s="19">
        <v>0</v>
      </c>
      <c r="Q46" s="17">
        <v>78416236907</v>
      </c>
      <c r="R46" s="22">
        <v>132224916514</v>
      </c>
      <c r="S46" s="17">
        <v>361086350143</v>
      </c>
      <c r="T46" s="17">
        <v>444386545276</v>
      </c>
      <c r="U46" s="17">
        <v>2399315891</v>
      </c>
      <c r="V46" s="17">
        <v>50632663104</v>
      </c>
      <c r="W46" s="17">
        <v>505025588655</v>
      </c>
      <c r="X46" s="19" t="s">
        <v>52</v>
      </c>
      <c r="Y46" s="55" t="s">
        <v>95</v>
      </c>
      <c r="Z46" s="19">
        <v>0</v>
      </c>
      <c r="AA46" s="61" t="s">
        <v>101</v>
      </c>
      <c r="AB46" s="19">
        <v>1</v>
      </c>
      <c r="AC46" s="17">
        <v>114408909365</v>
      </c>
      <c r="AD46" s="17">
        <v>265011466133</v>
      </c>
      <c r="AE46" s="73">
        <v>46109</v>
      </c>
      <c r="AF46" s="17">
        <v>463529604280</v>
      </c>
      <c r="AG46" s="17">
        <v>27162360422</v>
      </c>
      <c r="AH46" s="17">
        <v>80392616731</v>
      </c>
      <c r="AI46" s="17">
        <v>6634701967</v>
      </c>
      <c r="AJ46" s="17">
        <v>-120103551749</v>
      </c>
      <c r="AK46" s="17">
        <v>80955321149</v>
      </c>
      <c r="AL46" s="17">
        <v>26850000</v>
      </c>
      <c r="AM46" s="22">
        <v>256041298361</v>
      </c>
      <c r="AN46" s="17">
        <v>27135510422</v>
      </c>
      <c r="AO46" s="45">
        <v>-6.8099999999999994E-2</v>
      </c>
      <c r="AP46" s="17">
        <v>31494321598</v>
      </c>
      <c r="AQ46" s="17">
        <v>-32972381400</v>
      </c>
      <c r="AR46" s="17">
        <v>10584</v>
      </c>
      <c r="AS46" s="19">
        <v>462</v>
      </c>
      <c r="AT46" s="17">
        <v>32534072506</v>
      </c>
      <c r="AU46" s="19">
        <v>51</v>
      </c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</row>
    <row r="47" spans="1:61" ht="46.5" x14ac:dyDescent="0.35">
      <c r="A47" s="11">
        <v>9</v>
      </c>
      <c r="B47" s="11" t="s">
        <v>67</v>
      </c>
      <c r="C47" s="12" t="s">
        <v>68</v>
      </c>
      <c r="D47" s="11">
        <v>2024</v>
      </c>
      <c r="E47" s="11"/>
      <c r="F47" s="45">
        <v>0.25009999999999999</v>
      </c>
      <c r="G47" s="45" t="s">
        <v>52</v>
      </c>
      <c r="H47" s="45">
        <f>0.0036</f>
        <v>3.5999999999999999E-3</v>
      </c>
      <c r="I47" s="45">
        <v>1.12E-2</v>
      </c>
      <c r="J47" s="17">
        <v>15079284</v>
      </c>
      <c r="K47" s="17">
        <v>591753292991</v>
      </c>
      <c r="L47" s="22">
        <v>591753292991</v>
      </c>
      <c r="M47" s="17">
        <v>269963505951</v>
      </c>
      <c r="N47" s="17">
        <v>26369942119</v>
      </c>
      <c r="O47" s="17">
        <v>23852628306</v>
      </c>
      <c r="P47" s="19">
        <v>0</v>
      </c>
      <c r="Q47" s="17">
        <v>55531954301</v>
      </c>
      <c r="R47" s="22">
        <v>41433564664</v>
      </c>
      <c r="S47" s="17">
        <v>510995726445</v>
      </c>
      <c r="T47" s="17">
        <v>584396805069</v>
      </c>
      <c r="U47" s="17">
        <v>2147248795</v>
      </c>
      <c r="V47" s="17">
        <v>29439604901</v>
      </c>
      <c r="W47" s="17">
        <v>634786876942</v>
      </c>
      <c r="X47" s="19" t="s">
        <v>52</v>
      </c>
      <c r="Y47" s="55" t="s">
        <v>95</v>
      </c>
      <c r="Z47" s="19">
        <v>0</v>
      </c>
      <c r="AA47" s="61" t="s">
        <v>101</v>
      </c>
      <c r="AB47" s="19">
        <v>1</v>
      </c>
      <c r="AC47" s="17">
        <v>30921885524</v>
      </c>
      <c r="AD47" s="17">
        <v>239948306189</v>
      </c>
      <c r="AE47" s="73">
        <v>40716</v>
      </c>
      <c r="AF47" s="17">
        <v>613967767344</v>
      </c>
      <c r="AG47" s="17">
        <v>30015199762</v>
      </c>
      <c r="AH47" s="17">
        <v>-51020878854</v>
      </c>
      <c r="AI47" s="17">
        <v>7313963156</v>
      </c>
      <c r="AJ47" s="17">
        <v>115590192568</v>
      </c>
      <c r="AK47" s="17">
        <v>94467547790</v>
      </c>
      <c r="AL47" s="17">
        <v>26850000</v>
      </c>
      <c r="AM47" s="22">
        <v>243977602153</v>
      </c>
      <c r="AN47" s="17">
        <v>29988349762</v>
      </c>
      <c r="AO47" s="45">
        <v>-3.3500000000000002E-2</v>
      </c>
      <c r="AP47" s="17">
        <v>115588167636</v>
      </c>
      <c r="AQ47" s="17">
        <v>-50242835500</v>
      </c>
      <c r="AR47" s="17">
        <v>2922</v>
      </c>
      <c r="AS47" s="19">
        <v>400</v>
      </c>
      <c r="AT47" s="17">
        <v>21473979949</v>
      </c>
      <c r="AU47" s="19">
        <v>52</v>
      </c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</row>
    <row r="48" spans="1:61" ht="33" x14ac:dyDescent="0.35">
      <c r="A48" s="31">
        <v>10</v>
      </c>
      <c r="B48" s="31" t="s">
        <v>69</v>
      </c>
      <c r="C48" s="32" t="s">
        <v>70</v>
      </c>
      <c r="D48" s="31">
        <v>2020</v>
      </c>
      <c r="E48" s="31"/>
      <c r="F48" s="43">
        <v>2.64E-2</v>
      </c>
      <c r="G48" s="43">
        <v>0</v>
      </c>
      <c r="H48" s="43">
        <v>0.4098</v>
      </c>
      <c r="I48" s="43">
        <v>0.12670000000000001</v>
      </c>
      <c r="J48" s="34">
        <v>15119946</v>
      </c>
      <c r="K48" s="34">
        <v>382489227375</v>
      </c>
      <c r="L48" s="34">
        <v>382489227375</v>
      </c>
      <c r="M48" s="34">
        <v>475436281934</v>
      </c>
      <c r="N48" s="34">
        <v>367370911</v>
      </c>
      <c r="O48" s="34">
        <v>17664675904</v>
      </c>
      <c r="P48" s="34">
        <v>47631700307</v>
      </c>
      <c r="Q48" s="34">
        <v>219237937911</v>
      </c>
      <c r="R48" s="34">
        <v>122245950873</v>
      </c>
      <c r="S48" s="34">
        <v>22516391467</v>
      </c>
      <c r="T48" s="34">
        <v>260778554506</v>
      </c>
      <c r="U48" s="31">
        <v>0</v>
      </c>
      <c r="V48" s="34">
        <v>146209096684</v>
      </c>
      <c r="W48" s="34">
        <v>278810601321</v>
      </c>
      <c r="X48" s="31" t="s">
        <v>52</v>
      </c>
      <c r="Y48" s="61" t="s">
        <v>100</v>
      </c>
      <c r="Z48" s="31">
        <v>1</v>
      </c>
      <c r="AA48" s="61" t="s">
        <v>101</v>
      </c>
      <c r="AB48" s="31">
        <v>1</v>
      </c>
      <c r="AC48" s="34">
        <v>98274259648</v>
      </c>
      <c r="AD48" s="34">
        <v>428691212148</v>
      </c>
      <c r="AE48" s="69">
        <v>30217</v>
      </c>
      <c r="AF48" s="31">
        <v>456879408282</v>
      </c>
      <c r="AG48" s="34">
        <v>46745069786</v>
      </c>
      <c r="AH48" s="34">
        <v>105691116654</v>
      </c>
      <c r="AI48" s="34">
        <v>0</v>
      </c>
      <c r="AJ48" s="34">
        <v>-86698108532</v>
      </c>
      <c r="AK48" s="34">
        <v>36720730061</v>
      </c>
      <c r="AL48" s="34">
        <v>5084494510</v>
      </c>
      <c r="AM48" s="34">
        <v>318560446203</v>
      </c>
      <c r="AN48" s="34">
        <v>41660575276</v>
      </c>
      <c r="AO48" s="33">
        <v>0.1537</v>
      </c>
      <c r="AP48" s="34">
        <v>139950000</v>
      </c>
      <c r="AQ48" s="34">
        <v>-51556119600</v>
      </c>
      <c r="AR48" s="34">
        <v>6273</v>
      </c>
      <c r="AS48" s="31">
        <v>121</v>
      </c>
      <c r="AT48" s="34">
        <v>17706223929</v>
      </c>
      <c r="AU48" s="31">
        <v>40</v>
      </c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</row>
    <row r="49" spans="1:61" ht="33" x14ac:dyDescent="0.35">
      <c r="A49" s="31">
        <v>10</v>
      </c>
      <c r="B49" s="31" t="s">
        <v>69</v>
      </c>
      <c r="C49" s="32" t="s">
        <v>70</v>
      </c>
      <c r="D49" s="31">
        <v>2021</v>
      </c>
      <c r="E49" s="31"/>
      <c r="F49" s="43">
        <v>1.6500000000000001E-2</v>
      </c>
      <c r="G49" s="43">
        <v>0</v>
      </c>
      <c r="H49" s="43">
        <v>0.33639999999999998</v>
      </c>
      <c r="I49" s="43">
        <v>0.1391</v>
      </c>
      <c r="J49" s="34">
        <v>15119946</v>
      </c>
      <c r="K49" s="34">
        <v>337422824214</v>
      </c>
      <c r="L49" s="34">
        <v>337422824214</v>
      </c>
      <c r="M49" s="34">
        <v>531221432244</v>
      </c>
      <c r="N49" s="34">
        <v>102284808</v>
      </c>
      <c r="O49" s="34">
        <v>15779182018</v>
      </c>
      <c r="P49" s="34">
        <v>42126894975</v>
      </c>
      <c r="Q49" s="34">
        <v>203539324046</v>
      </c>
      <c r="R49" s="34">
        <v>109621799588</v>
      </c>
      <c r="S49" s="34">
        <v>20535079227</v>
      </c>
      <c r="T49" s="34">
        <v>242366718673</v>
      </c>
      <c r="U49" s="31">
        <v>0</v>
      </c>
      <c r="V49" s="34">
        <v>133296545922</v>
      </c>
      <c r="W49" s="34">
        <v>258248185499</v>
      </c>
      <c r="X49" s="31" t="s">
        <v>52</v>
      </c>
      <c r="Y49" s="61" t="s">
        <v>100</v>
      </c>
      <c r="Z49" s="31">
        <v>1</v>
      </c>
      <c r="AA49" s="61" t="s">
        <v>101</v>
      </c>
      <c r="AB49" s="31">
        <v>1</v>
      </c>
      <c r="AC49" s="34">
        <v>90254477584</v>
      </c>
      <c r="AD49" s="34">
        <v>468583015347</v>
      </c>
      <c r="AE49" s="69">
        <v>37964</v>
      </c>
      <c r="AF49" s="31">
        <v>574013629944</v>
      </c>
      <c r="AG49" s="34">
        <v>62638416897</v>
      </c>
      <c r="AH49" s="34">
        <v>138309874269</v>
      </c>
      <c r="AI49" s="34">
        <v>0</v>
      </c>
      <c r="AJ49" s="34">
        <v>2724920998</v>
      </c>
      <c r="AK49" s="34">
        <v>133571576028</v>
      </c>
      <c r="AL49" s="34">
        <v>5525511880</v>
      </c>
      <c r="AM49" s="34">
        <v>393899760544</v>
      </c>
      <c r="AN49" s="34">
        <v>57112905017</v>
      </c>
      <c r="AO49" s="33">
        <v>-0.1178</v>
      </c>
      <c r="AP49" s="34">
        <v>139950000</v>
      </c>
      <c r="AQ49" s="34">
        <v>-44183949300</v>
      </c>
      <c r="AR49" s="34">
        <v>5884</v>
      </c>
      <c r="AS49" s="31">
        <v>118</v>
      </c>
      <c r="AT49" s="34">
        <v>16438620904</v>
      </c>
      <c r="AU49" s="31">
        <v>41</v>
      </c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</row>
    <row r="50" spans="1:61" ht="33" x14ac:dyDescent="0.35">
      <c r="A50" s="31">
        <v>10</v>
      </c>
      <c r="B50" s="31" t="s">
        <v>69</v>
      </c>
      <c r="C50" s="32" t="s">
        <v>70</v>
      </c>
      <c r="D50" s="31">
        <v>2022</v>
      </c>
      <c r="E50" s="31"/>
      <c r="F50" s="43">
        <v>6.4600000000000005E-2</v>
      </c>
      <c r="G50" s="43">
        <v>0</v>
      </c>
      <c r="H50" s="43">
        <v>0.33810000000000001</v>
      </c>
      <c r="I50" s="43">
        <v>0.1837</v>
      </c>
      <c r="J50" s="34">
        <v>15119946</v>
      </c>
      <c r="K50" s="34">
        <v>387820074803</v>
      </c>
      <c r="L50" s="34">
        <v>387820074803</v>
      </c>
      <c r="M50" s="34">
        <v>491412663719</v>
      </c>
      <c r="N50" s="34">
        <v>13000000</v>
      </c>
      <c r="O50" s="34">
        <v>16578967172</v>
      </c>
      <c r="P50" s="34">
        <v>37155306603</v>
      </c>
      <c r="Q50" s="34">
        <v>240972799170</v>
      </c>
      <c r="R50" s="34">
        <v>64731917853</v>
      </c>
      <c r="S50" s="34">
        <v>27055120873</v>
      </c>
      <c r="T50" s="34">
        <v>284897904825</v>
      </c>
      <c r="U50" s="31">
        <v>0</v>
      </c>
      <c r="V50" s="34">
        <v>161807275986</v>
      </c>
      <c r="W50" s="34">
        <v>301565171997</v>
      </c>
      <c r="X50" s="31" t="s">
        <v>52</v>
      </c>
      <c r="Y50" s="61" t="s">
        <v>100</v>
      </c>
      <c r="Z50" s="31">
        <v>1</v>
      </c>
      <c r="AA50" s="61" t="s">
        <v>101</v>
      </c>
      <c r="AB50" s="31">
        <v>1</v>
      </c>
      <c r="AC50" s="34">
        <v>52332261663</v>
      </c>
      <c r="AD50" s="34">
        <v>442366188348</v>
      </c>
      <c r="AE50" s="69">
        <v>27414</v>
      </c>
      <c r="AF50" s="31">
        <v>414498199644</v>
      </c>
      <c r="AG50" s="34">
        <v>49046475371</v>
      </c>
      <c r="AH50" s="34">
        <v>-99593876</v>
      </c>
      <c r="AI50" s="34">
        <v>2148841363</v>
      </c>
      <c r="AJ50" s="34">
        <v>1061749373</v>
      </c>
      <c r="AK50" s="34">
        <v>60897636225</v>
      </c>
      <c r="AL50" s="34">
        <v>5953714721</v>
      </c>
      <c r="AM50" s="34">
        <v>369280328082</v>
      </c>
      <c r="AN50" s="34">
        <v>43092760650</v>
      </c>
      <c r="AO50" s="33">
        <v>0.14940000000000001</v>
      </c>
      <c r="AP50" s="34">
        <v>64650000</v>
      </c>
      <c r="AQ50" s="34">
        <v>-73636095300</v>
      </c>
      <c r="AR50" s="34">
        <v>3412</v>
      </c>
      <c r="AS50" s="31">
        <v>117</v>
      </c>
      <c r="AT50" s="34">
        <v>16005418758</v>
      </c>
      <c r="AU50" s="31">
        <v>42</v>
      </c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</row>
    <row r="51" spans="1:61" ht="33" x14ac:dyDescent="0.35">
      <c r="A51" s="31">
        <v>10</v>
      </c>
      <c r="B51" s="31" t="s">
        <v>69</v>
      </c>
      <c r="C51" s="32" t="s">
        <v>70</v>
      </c>
      <c r="D51" s="31">
        <v>2023</v>
      </c>
      <c r="E51" s="31"/>
      <c r="F51" s="43">
        <v>5.8700000000000002E-2</v>
      </c>
      <c r="G51" s="43">
        <v>0</v>
      </c>
      <c r="H51" s="43">
        <v>0.29189999999999999</v>
      </c>
      <c r="I51" s="43">
        <v>0.1227</v>
      </c>
      <c r="J51" s="34">
        <v>15119946</v>
      </c>
      <c r="K51" s="34">
        <v>375398153999</v>
      </c>
      <c r="L51" s="34">
        <v>375398153999</v>
      </c>
      <c r="M51" s="34">
        <v>469095957351</v>
      </c>
      <c r="N51" s="34">
        <v>77214991</v>
      </c>
      <c r="O51" s="34">
        <v>30422741042</v>
      </c>
      <c r="P51" s="34">
        <v>32183718231</v>
      </c>
      <c r="Q51" s="34">
        <v>242583473172</v>
      </c>
      <c r="R51" s="34">
        <v>114071982762</v>
      </c>
      <c r="S51" s="34">
        <v>25564909378</v>
      </c>
      <c r="T51" s="34">
        <v>272898505500</v>
      </c>
      <c r="U51" s="31">
        <v>0</v>
      </c>
      <c r="V51" s="34">
        <v>178741094956</v>
      </c>
      <c r="W51" s="34">
        <v>301201379598</v>
      </c>
      <c r="X51" s="31" t="s">
        <v>52</v>
      </c>
      <c r="Y51" s="61" t="s">
        <v>100</v>
      </c>
      <c r="Z51" s="31">
        <v>1</v>
      </c>
      <c r="AA51" s="61" t="s">
        <v>101</v>
      </c>
      <c r="AB51" s="31">
        <v>1</v>
      </c>
      <c r="AC51" s="34">
        <v>87053668250</v>
      </c>
      <c r="AD51" s="34">
        <v>410768203849</v>
      </c>
      <c r="AE51" s="69">
        <v>43915</v>
      </c>
      <c r="AF51" s="31">
        <v>663992428590</v>
      </c>
      <c r="AG51" s="34">
        <v>58327753502</v>
      </c>
      <c r="AH51" s="34">
        <v>169024779518</v>
      </c>
      <c r="AI51" s="34">
        <v>372455302</v>
      </c>
      <c r="AJ51" s="34">
        <v>3232844999</v>
      </c>
      <c r="AK51" s="34">
        <v>116161635042</v>
      </c>
      <c r="AL51" s="34">
        <v>6401106572</v>
      </c>
      <c r="AM51" s="34">
        <v>359926792107</v>
      </c>
      <c r="AN51" s="34">
        <v>51926646930</v>
      </c>
      <c r="AO51" s="33">
        <v>-3.2000000000000001E-2</v>
      </c>
      <c r="AP51" s="34">
        <v>2261731935</v>
      </c>
      <c r="AQ51" s="34">
        <v>-116993625700</v>
      </c>
      <c r="AR51" s="34">
        <v>5912</v>
      </c>
      <c r="AS51" s="31">
        <v>114</v>
      </c>
      <c r="AT51" s="34">
        <v>13181417453</v>
      </c>
      <c r="AU51" s="31">
        <v>43</v>
      </c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</row>
    <row r="52" spans="1:61" ht="33" x14ac:dyDescent="0.35">
      <c r="A52" s="31">
        <v>10</v>
      </c>
      <c r="B52" s="31" t="s">
        <v>69</v>
      </c>
      <c r="C52" s="32" t="s">
        <v>70</v>
      </c>
      <c r="D52" s="31">
        <v>2024</v>
      </c>
      <c r="E52" s="31"/>
      <c r="F52" s="43">
        <v>8.4500000000000006E-2</v>
      </c>
      <c r="G52" s="43">
        <v>0</v>
      </c>
      <c r="H52" s="43">
        <v>0.30509999999999998</v>
      </c>
      <c r="I52" s="43">
        <v>9.5100000000000004E-2</v>
      </c>
      <c r="J52" s="34">
        <v>15119946</v>
      </c>
      <c r="K52" s="34">
        <v>296193414952</v>
      </c>
      <c r="L52" s="34">
        <v>296193414952</v>
      </c>
      <c r="M52" s="34">
        <v>470446189023</v>
      </c>
      <c r="N52" s="34">
        <v>21000000</v>
      </c>
      <c r="O52" s="34">
        <v>23261344287</v>
      </c>
      <c r="P52" s="34">
        <v>27212129859</v>
      </c>
      <c r="Q52" s="34">
        <v>190072964510</v>
      </c>
      <c r="R52" s="34">
        <v>75610276808</v>
      </c>
      <c r="S52" s="34">
        <v>16679738983</v>
      </c>
      <c r="T52" s="34">
        <v>207268986950</v>
      </c>
      <c r="U52" s="31">
        <v>0</v>
      </c>
      <c r="V52" s="34">
        <v>136480293237</v>
      </c>
      <c r="W52" s="34">
        <v>232748413172</v>
      </c>
      <c r="X52" s="31" t="s">
        <v>52</v>
      </c>
      <c r="Y52" s="61" t="s">
        <v>100</v>
      </c>
      <c r="Z52" s="31">
        <v>1</v>
      </c>
      <c r="AA52" s="61" t="s">
        <v>101</v>
      </c>
      <c r="AB52" s="31">
        <v>1</v>
      </c>
      <c r="AC52" s="34">
        <v>51706620002</v>
      </c>
      <c r="AD52" s="34">
        <v>427206293687</v>
      </c>
      <c r="AE52" s="69">
        <v>40471</v>
      </c>
      <c r="AF52" s="31">
        <v>611919334566</v>
      </c>
      <c r="AG52" s="34">
        <v>43239895336</v>
      </c>
      <c r="AH52" s="34">
        <v>-101733598631</v>
      </c>
      <c r="AI52" s="31">
        <v>6982576000</v>
      </c>
      <c r="AJ52" s="34">
        <v>101186325398</v>
      </c>
      <c r="AK52" s="34">
        <v>85960835809</v>
      </c>
      <c r="AL52" s="34">
        <v>6715421894</v>
      </c>
      <c r="AM52" s="34">
        <v>368317433857</v>
      </c>
      <c r="AN52" s="34">
        <v>36524473442</v>
      </c>
      <c r="AO52" s="33">
        <v>-0.21099999999999999</v>
      </c>
      <c r="AP52" s="34">
        <v>64650000</v>
      </c>
      <c r="AQ52" s="34">
        <v>-29452146000</v>
      </c>
      <c r="AR52" s="34">
        <v>3512</v>
      </c>
      <c r="AS52" s="31">
        <v>108</v>
      </c>
      <c r="AT52" s="34">
        <v>16736643382</v>
      </c>
      <c r="AU52" s="31">
        <v>44</v>
      </c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</row>
    <row r="53" spans="1:61" ht="46.5" x14ac:dyDescent="0.35">
      <c r="A53" s="11">
        <v>11</v>
      </c>
      <c r="B53" s="11" t="s">
        <v>71</v>
      </c>
      <c r="C53" s="12" t="s">
        <v>72</v>
      </c>
      <c r="D53" s="11">
        <v>2020</v>
      </c>
      <c r="E53" s="11"/>
      <c r="F53" s="42">
        <v>0.33171</v>
      </c>
      <c r="G53" s="42">
        <v>0</v>
      </c>
      <c r="H53" s="42">
        <v>4.4299999999999999E-2</v>
      </c>
      <c r="I53" s="42">
        <v>9.8799999999999999E-2</v>
      </c>
      <c r="J53" s="16">
        <v>18000000</v>
      </c>
      <c r="K53" s="16">
        <v>1210773886000</v>
      </c>
      <c r="L53" s="16">
        <v>1210062165000</v>
      </c>
      <c r="M53" s="16">
        <v>802553849100</v>
      </c>
      <c r="N53" s="16">
        <v>34264992700.000004</v>
      </c>
      <c r="O53" s="16">
        <v>62821455849</v>
      </c>
      <c r="P53" s="11">
        <v>0</v>
      </c>
      <c r="Q53" s="16">
        <v>192424397517</v>
      </c>
      <c r="R53" s="16">
        <v>81353714980</v>
      </c>
      <c r="S53" s="16">
        <v>741409176554</v>
      </c>
      <c r="T53" s="16">
        <v>1026848803232</v>
      </c>
      <c r="U53" s="16">
        <v>5643620993</v>
      </c>
      <c r="V53" s="16">
        <v>85527051656</v>
      </c>
      <c r="W53" s="16">
        <v>1081392480199</v>
      </c>
      <c r="X53" s="16" t="s">
        <v>52</v>
      </c>
      <c r="Y53" s="55" t="s">
        <v>95</v>
      </c>
      <c r="Z53" s="16">
        <v>0</v>
      </c>
      <c r="AA53" s="61" t="s">
        <v>101</v>
      </c>
      <c r="AB53" s="11">
        <v>1</v>
      </c>
      <c r="AC53" s="16">
        <v>67079984769.999992</v>
      </c>
      <c r="AD53" s="16">
        <v>518703720700</v>
      </c>
      <c r="AE53" s="70">
        <v>18955</v>
      </c>
      <c r="AF53" s="16">
        <v>341190000000</v>
      </c>
      <c r="AG53" s="16">
        <v>283850128400</v>
      </c>
      <c r="AH53" s="16">
        <v>158467951100</v>
      </c>
      <c r="AI53" s="16">
        <v>116528745200</v>
      </c>
      <c r="AJ53" s="16">
        <v>-115397514600</v>
      </c>
      <c r="AK53" s="16">
        <v>62429961190</v>
      </c>
      <c r="AL53" s="16">
        <v>200000000</v>
      </c>
      <c r="AM53" s="16">
        <v>445907260300</v>
      </c>
      <c r="AN53" s="16">
        <v>283650128400</v>
      </c>
      <c r="AO53" s="29">
        <v>-7.6300000000000007E-2</v>
      </c>
      <c r="AP53" s="16">
        <v>93822009830</v>
      </c>
      <c r="AQ53" s="16">
        <v>-35330825000</v>
      </c>
      <c r="AR53" s="16">
        <v>3546</v>
      </c>
      <c r="AS53" s="11">
        <v>650</v>
      </c>
      <c r="AT53" s="16">
        <v>257905221800</v>
      </c>
      <c r="AU53" s="11">
        <v>52</v>
      </c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</row>
    <row r="54" spans="1:61" ht="46.5" x14ac:dyDescent="0.35">
      <c r="A54" s="11">
        <v>11</v>
      </c>
      <c r="B54" s="11" t="s">
        <v>71</v>
      </c>
      <c r="C54" s="12" t="s">
        <v>72</v>
      </c>
      <c r="D54" s="11">
        <v>2021</v>
      </c>
      <c r="E54" s="11"/>
      <c r="F54" s="42">
        <v>0.3327</v>
      </c>
      <c r="G54" s="42">
        <v>0</v>
      </c>
      <c r="H54" s="42">
        <v>4.4600000000000001E-2</v>
      </c>
      <c r="I54" s="42">
        <v>4.8000000000000001E-2</v>
      </c>
      <c r="J54" s="16">
        <v>18000000</v>
      </c>
      <c r="K54" s="16">
        <v>1538796226000</v>
      </c>
      <c r="L54" s="16">
        <v>1536423604000</v>
      </c>
      <c r="M54" s="16">
        <v>1122460164000</v>
      </c>
      <c r="N54" s="16">
        <v>49531681150</v>
      </c>
      <c r="O54" s="16">
        <v>82309761365</v>
      </c>
      <c r="P54" s="11">
        <v>0</v>
      </c>
      <c r="Q54" s="16">
        <v>224277067663</v>
      </c>
      <c r="R54" s="16">
        <v>80316592520</v>
      </c>
      <c r="S54" s="16">
        <v>994115392849</v>
      </c>
      <c r="T54" s="16">
        <v>1464850051606</v>
      </c>
      <c r="U54" s="16">
        <v>12903970992</v>
      </c>
      <c r="V54" s="16">
        <v>124748016569</v>
      </c>
      <c r="W54" s="16">
        <v>1466973905795</v>
      </c>
      <c r="X54" s="16" t="s">
        <v>52</v>
      </c>
      <c r="Y54" s="55" t="s">
        <v>95</v>
      </c>
      <c r="Z54" s="16">
        <v>0</v>
      </c>
      <c r="AA54" s="61" t="s">
        <v>101</v>
      </c>
      <c r="AB54" s="11">
        <v>1</v>
      </c>
      <c r="AC54" s="16">
        <v>70897067420</v>
      </c>
      <c r="AD54" s="16">
        <v>550029745400</v>
      </c>
      <c r="AE54" s="70">
        <v>22208</v>
      </c>
      <c r="AF54" s="16">
        <v>399744000000</v>
      </c>
      <c r="AG54" s="16">
        <v>572430418700</v>
      </c>
      <c r="AH54" s="16">
        <v>-59650394740</v>
      </c>
      <c r="AI54" s="16">
        <v>71518915347</v>
      </c>
      <c r="AJ54" s="16">
        <v>-85196111470</v>
      </c>
      <c r="AK54" s="16">
        <v>53422794440</v>
      </c>
      <c r="AL54" s="16">
        <v>76879569210</v>
      </c>
      <c r="AM54" s="16">
        <v>712764360000</v>
      </c>
      <c r="AN54" s="16">
        <v>495550849500</v>
      </c>
      <c r="AO54" s="29">
        <v>0.27100000000000002</v>
      </c>
      <c r="AP54" s="16">
        <v>238412179300</v>
      </c>
      <c r="AQ54" s="16">
        <v>-36425195800</v>
      </c>
      <c r="AR54" s="16">
        <v>3751</v>
      </c>
      <c r="AS54" s="11">
        <v>705</v>
      </c>
      <c r="AT54" s="16">
        <v>312049396100</v>
      </c>
      <c r="AU54" s="11">
        <v>53</v>
      </c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</row>
    <row r="55" spans="1:61" ht="46.5" x14ac:dyDescent="0.35">
      <c r="A55" s="11">
        <v>11</v>
      </c>
      <c r="B55" s="11" t="s">
        <v>71</v>
      </c>
      <c r="C55" s="12" t="s">
        <v>72</v>
      </c>
      <c r="D55" s="11">
        <v>2022</v>
      </c>
      <c r="E55" s="11"/>
      <c r="F55" s="42">
        <v>0.3327</v>
      </c>
      <c r="G55" s="42">
        <v>0</v>
      </c>
      <c r="H55" s="42">
        <v>4.5100000000000001E-2</v>
      </c>
      <c r="I55" s="42">
        <v>4.7600000000000003E-2</v>
      </c>
      <c r="J55" s="16">
        <v>18000000</v>
      </c>
      <c r="K55" s="16">
        <v>1710685507000</v>
      </c>
      <c r="L55" s="16">
        <v>1710202317000</v>
      </c>
      <c r="M55" s="16">
        <v>992749063200</v>
      </c>
      <c r="N55" s="16">
        <v>52625342720</v>
      </c>
      <c r="O55" s="16">
        <v>100741155174</v>
      </c>
      <c r="P55" s="11">
        <v>0</v>
      </c>
      <c r="Q55" s="16">
        <v>236476671693</v>
      </c>
      <c r="R55" s="16">
        <v>101571030000</v>
      </c>
      <c r="S55" s="16">
        <v>1166859330609</v>
      </c>
      <c r="T55" s="16">
        <v>1358092579035</v>
      </c>
      <c r="U55" s="16">
        <v>7809693914</v>
      </c>
      <c r="V55" s="16">
        <v>128190513975</v>
      </c>
      <c r="W55" s="16">
        <v>1615343019169</v>
      </c>
      <c r="X55" s="16" t="s">
        <v>52</v>
      </c>
      <c r="Y55" s="55" t="s">
        <v>95</v>
      </c>
      <c r="Z55" s="16">
        <v>0</v>
      </c>
      <c r="AA55" s="61" t="s">
        <v>101</v>
      </c>
      <c r="AB55" s="11">
        <v>1</v>
      </c>
      <c r="AC55" s="16">
        <v>82551581690</v>
      </c>
      <c r="AD55" s="16">
        <v>592070847600</v>
      </c>
      <c r="AE55" s="70">
        <v>23502</v>
      </c>
      <c r="AF55" s="16">
        <v>423036000000</v>
      </c>
      <c r="AG55" s="16">
        <v>400678215600</v>
      </c>
      <c r="AH55" s="16">
        <v>273469988100.00003</v>
      </c>
      <c r="AI55" s="16">
        <v>53496394470</v>
      </c>
      <c r="AJ55" s="16">
        <v>-39370032150</v>
      </c>
      <c r="AK55" s="16">
        <v>109911179900</v>
      </c>
      <c r="AL55" s="16">
        <v>1280000000</v>
      </c>
      <c r="AM55" s="16">
        <v>598054188100</v>
      </c>
      <c r="AN55" s="16">
        <v>399398215600</v>
      </c>
      <c r="AO55" s="29">
        <v>0.1123</v>
      </c>
      <c r="AP55" s="16">
        <v>148672212000</v>
      </c>
      <c r="AQ55" s="16">
        <v>-35908000000</v>
      </c>
      <c r="AR55" s="16">
        <v>4368</v>
      </c>
      <c r="AS55" s="11">
        <v>720</v>
      </c>
      <c r="AT55" s="16">
        <v>371307351400</v>
      </c>
      <c r="AU55" s="11">
        <v>54</v>
      </c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</row>
    <row r="56" spans="1:61" ht="46.5" x14ac:dyDescent="0.35">
      <c r="A56" s="11">
        <v>11</v>
      </c>
      <c r="B56" s="11" t="s">
        <v>71</v>
      </c>
      <c r="C56" s="12" t="s">
        <v>72</v>
      </c>
      <c r="D56" s="11">
        <v>2023</v>
      </c>
      <c r="E56" s="11"/>
      <c r="F56" s="42">
        <v>0.24060000000000001</v>
      </c>
      <c r="G56" s="42">
        <v>0</v>
      </c>
      <c r="H56" s="42">
        <v>4.5499999999999999E-2</v>
      </c>
      <c r="I56" s="42">
        <v>3.7900000000000003E-2</v>
      </c>
      <c r="J56" s="16">
        <v>18000000</v>
      </c>
      <c r="K56" s="16">
        <v>1533265809000</v>
      </c>
      <c r="L56" s="16">
        <v>1532155104000</v>
      </c>
      <c r="M56" s="16">
        <v>1089703549000.0001</v>
      </c>
      <c r="N56" s="16">
        <v>57339448890</v>
      </c>
      <c r="O56" s="16">
        <v>115414602315</v>
      </c>
      <c r="P56" s="11">
        <v>0</v>
      </c>
      <c r="Q56" s="16">
        <v>236885247748</v>
      </c>
      <c r="R56" s="16">
        <v>111506404800</v>
      </c>
      <c r="S56" s="16">
        <v>911580429881</v>
      </c>
      <c r="T56" s="16">
        <v>1230557389521</v>
      </c>
      <c r="U56" s="16">
        <v>6805429033</v>
      </c>
      <c r="V56" s="16">
        <v>131113011763</v>
      </c>
      <c r="W56" s="16">
        <v>1425849729159</v>
      </c>
      <c r="X56" s="16" t="s">
        <v>52</v>
      </c>
      <c r="Y56" s="55" t="s">
        <v>95</v>
      </c>
      <c r="Z56" s="16">
        <v>0</v>
      </c>
      <c r="AA56" s="61" t="s">
        <v>101</v>
      </c>
      <c r="AB56" s="11">
        <v>1</v>
      </c>
      <c r="AC56" s="16">
        <v>99240927590</v>
      </c>
      <c r="AD56" s="16">
        <v>656961251300</v>
      </c>
      <c r="AE56" s="70">
        <v>28377</v>
      </c>
      <c r="AF56" s="16">
        <v>510786000000</v>
      </c>
      <c r="AG56" s="16">
        <v>432742297900</v>
      </c>
      <c r="AH56" s="16">
        <v>297617667900</v>
      </c>
      <c r="AI56" s="16">
        <v>43674139884</v>
      </c>
      <c r="AJ56" s="16">
        <v>-242000459900</v>
      </c>
      <c r="AK56" s="16">
        <v>119887523600</v>
      </c>
      <c r="AL56" s="16">
        <v>1280000000</v>
      </c>
      <c r="AM56" s="16">
        <v>769517691200</v>
      </c>
      <c r="AN56" s="16">
        <v>431462297900</v>
      </c>
      <c r="AO56" s="29">
        <v>-0.1037</v>
      </c>
      <c r="AP56" s="16">
        <v>123739089300</v>
      </c>
      <c r="AQ56" s="16">
        <v>-35902225000</v>
      </c>
      <c r="AR56" s="16">
        <v>5251</v>
      </c>
      <c r="AS56" s="11">
        <v>769</v>
      </c>
      <c r="AT56" s="16">
        <v>291893681100</v>
      </c>
      <c r="AU56" s="11">
        <v>55</v>
      </c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</row>
    <row r="57" spans="1:61" ht="46.5" x14ac:dyDescent="0.35">
      <c r="A57" s="11">
        <v>11</v>
      </c>
      <c r="B57" s="11" t="s">
        <v>71</v>
      </c>
      <c r="C57" s="12" t="s">
        <v>72</v>
      </c>
      <c r="D57" s="11">
        <v>2024</v>
      </c>
      <c r="E57" s="11"/>
      <c r="F57" s="42">
        <v>0.24060000000000001</v>
      </c>
      <c r="G57" s="42">
        <v>0</v>
      </c>
      <c r="H57" s="42">
        <v>4.5499999999999999E-2</v>
      </c>
      <c r="I57" s="42">
        <v>3.6999999999999998E-2</v>
      </c>
      <c r="J57" s="16">
        <v>18000000</v>
      </c>
      <c r="K57" s="16">
        <v>1767765247000</v>
      </c>
      <c r="L57" s="16">
        <v>1767091792000</v>
      </c>
      <c r="M57" s="16">
        <v>1206807055000</v>
      </c>
      <c r="N57" s="16">
        <v>58556888671</v>
      </c>
      <c r="O57" s="16">
        <v>127573880051</v>
      </c>
      <c r="P57" s="11">
        <v>0</v>
      </c>
      <c r="Q57" s="16">
        <v>273141132556</v>
      </c>
      <c r="R57" s="16">
        <v>134023335700</v>
      </c>
      <c r="S57" s="16">
        <v>1051700918784</v>
      </c>
      <c r="T57" s="16">
        <v>1544415704845</v>
      </c>
      <c r="U57" s="16">
        <v>7398540285</v>
      </c>
      <c r="V57" s="16">
        <v>158146467179</v>
      </c>
      <c r="W57" s="16">
        <v>1647870432538</v>
      </c>
      <c r="X57" s="16" t="s">
        <v>52</v>
      </c>
      <c r="Y57" s="55" t="s">
        <v>95</v>
      </c>
      <c r="Z57" s="16">
        <v>0</v>
      </c>
      <c r="AA57" s="61" t="s">
        <v>101</v>
      </c>
      <c r="AB57" s="11">
        <v>1</v>
      </c>
      <c r="AC57" s="16">
        <v>113990460500</v>
      </c>
      <c r="AD57" s="16">
        <v>720980143900</v>
      </c>
      <c r="AE57" s="70">
        <v>36360</v>
      </c>
      <c r="AF57" s="16">
        <v>654480000000</v>
      </c>
      <c r="AG57" s="16">
        <v>485826911500</v>
      </c>
      <c r="AH57" s="16">
        <v>-53827490460</v>
      </c>
      <c r="AI57" s="16">
        <v>43136442172</v>
      </c>
      <c r="AJ57" s="16">
        <v>106491169400</v>
      </c>
      <c r="AK57" s="16">
        <v>139472576300</v>
      </c>
      <c r="AL57" s="16">
        <v>1280000000</v>
      </c>
      <c r="AM57" s="16">
        <v>795699180200</v>
      </c>
      <c r="AN57" s="16">
        <v>484546911500</v>
      </c>
      <c r="AO57" s="29">
        <v>0.153</v>
      </c>
      <c r="AP57" s="16">
        <v>215206223600</v>
      </c>
      <c r="AQ57" s="16">
        <v>-44882281250</v>
      </c>
      <c r="AR57" s="16">
        <v>6031</v>
      </c>
      <c r="AS57" s="11">
        <v>768</v>
      </c>
      <c r="AT57" s="16">
        <v>246012863600</v>
      </c>
      <c r="AU57" s="11">
        <v>56</v>
      </c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</row>
    <row r="58" spans="1:61" ht="46.5" x14ac:dyDescent="0.35">
      <c r="A58" s="31">
        <v>12</v>
      </c>
      <c r="B58" s="31" t="s">
        <v>73</v>
      </c>
      <c r="C58" s="32" t="s">
        <v>74</v>
      </c>
      <c r="D58" s="31">
        <v>2020</v>
      </c>
      <c r="E58" s="31"/>
      <c r="F58" s="43">
        <v>0.38269999999999998</v>
      </c>
      <c r="G58" s="43">
        <v>0</v>
      </c>
      <c r="H58" s="31" t="s">
        <v>52</v>
      </c>
      <c r="I58" s="43">
        <v>0.33700000000000002</v>
      </c>
      <c r="J58" s="34">
        <v>60922941</v>
      </c>
      <c r="K58" s="34">
        <v>15743517791335</v>
      </c>
      <c r="L58" s="34">
        <v>15734957561413</v>
      </c>
      <c r="M58" s="34">
        <v>6721246505583</v>
      </c>
      <c r="N58" s="34">
        <v>197436219519</v>
      </c>
      <c r="O58" s="34">
        <v>211257402121</v>
      </c>
      <c r="P58" s="34">
        <v>138835350099</v>
      </c>
      <c r="Q58" s="34">
        <v>581102937879</v>
      </c>
      <c r="R58" s="34">
        <v>368853350463</v>
      </c>
      <c r="S58" s="34">
        <v>2601531858973</v>
      </c>
      <c r="T58" s="34">
        <v>194105053393514</v>
      </c>
      <c r="U58" s="31">
        <v>0</v>
      </c>
      <c r="V58" s="34">
        <v>429244757041</v>
      </c>
      <c r="W58" s="34">
        <v>3394145520320</v>
      </c>
      <c r="X58" s="31" t="s">
        <v>52</v>
      </c>
      <c r="Y58" s="55" t="s">
        <v>95</v>
      </c>
      <c r="Z58" s="31">
        <v>0</v>
      </c>
      <c r="AA58" s="61" t="s">
        <v>101</v>
      </c>
      <c r="AB58" s="31">
        <v>1</v>
      </c>
      <c r="AC58" s="34">
        <v>316100689994</v>
      </c>
      <c r="AD58" s="34">
        <v>1584290742605</v>
      </c>
      <c r="AE58" s="69">
        <v>15594</v>
      </c>
      <c r="AF58" s="31">
        <v>950032341954</v>
      </c>
      <c r="AG58" s="34">
        <v>5136955762978</v>
      </c>
      <c r="AH58" s="34">
        <v>444686324457</v>
      </c>
      <c r="AI58" s="34">
        <v>54703993896</v>
      </c>
      <c r="AJ58" s="34">
        <v>-291101325485</v>
      </c>
      <c r="AK58" s="34">
        <v>1183353090185</v>
      </c>
      <c r="AL58" s="34">
        <v>53661800641</v>
      </c>
      <c r="AM58" s="34">
        <v>5516482658175</v>
      </c>
      <c r="AN58" s="34">
        <v>5083293962337</v>
      </c>
      <c r="AO58" s="33">
        <v>-7.0000000000000007E-2</v>
      </c>
      <c r="AP58" s="34">
        <v>1803930918481</v>
      </c>
      <c r="AQ58" s="34">
        <v>-58932942200</v>
      </c>
      <c r="AR58" s="34">
        <v>5020</v>
      </c>
      <c r="AS58" s="34">
        <v>1136</v>
      </c>
      <c r="AT58" s="34">
        <v>512645488973</v>
      </c>
      <c r="AU58" s="31">
        <v>16</v>
      </c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</row>
    <row r="59" spans="1:61" ht="46.5" x14ac:dyDescent="0.35">
      <c r="A59" s="31">
        <v>12</v>
      </c>
      <c r="B59" s="31" t="s">
        <v>73</v>
      </c>
      <c r="C59" s="32" t="s">
        <v>74</v>
      </c>
      <c r="D59" s="31">
        <v>2021</v>
      </c>
      <c r="E59" s="31"/>
      <c r="F59" s="43">
        <v>0.40889999999999999</v>
      </c>
      <c r="G59" s="43">
        <v>0</v>
      </c>
      <c r="H59" s="31" t="s">
        <v>52</v>
      </c>
      <c r="I59" s="43">
        <v>0.2089</v>
      </c>
      <c r="J59" s="34">
        <v>60922941</v>
      </c>
      <c r="K59" s="34">
        <v>21318535820136</v>
      </c>
      <c r="L59" s="34">
        <v>21315015477261</v>
      </c>
      <c r="M59" s="34">
        <v>9005778911345</v>
      </c>
      <c r="N59" s="34">
        <v>219066075994</v>
      </c>
      <c r="O59" s="34">
        <v>127199563622</v>
      </c>
      <c r="P59" s="34">
        <v>138317948043</v>
      </c>
      <c r="Q59" s="34">
        <v>994566108203</v>
      </c>
      <c r="R59" s="34">
        <v>1096858279209</v>
      </c>
      <c r="S59" s="34">
        <v>2792717459581</v>
      </c>
      <c r="T59" s="34">
        <v>20575218716717</v>
      </c>
      <c r="U59" s="31">
        <v>0</v>
      </c>
      <c r="V59" s="34">
        <v>885893725299</v>
      </c>
      <c r="W59" s="34">
        <v>3575695403586</v>
      </c>
      <c r="X59" s="31" t="s">
        <v>52</v>
      </c>
      <c r="Y59" s="55" t="s">
        <v>95</v>
      </c>
      <c r="Z59" s="31">
        <v>0</v>
      </c>
      <c r="AA59" s="61" t="s">
        <v>101</v>
      </c>
      <c r="AB59" s="31">
        <v>1</v>
      </c>
      <c r="AC59" s="34">
        <v>901050511024</v>
      </c>
      <c r="AD59" s="34">
        <v>2418877197467</v>
      </c>
      <c r="AE59" s="69">
        <v>34379</v>
      </c>
      <c r="AF59" s="31">
        <v>2094469788639</v>
      </c>
      <c r="AG59" s="34">
        <v>6586901713878</v>
      </c>
      <c r="AH59" s="34">
        <v>-752284349693</v>
      </c>
      <c r="AI59" s="34">
        <v>537665369252</v>
      </c>
      <c r="AJ59" s="34">
        <v>-636331942140</v>
      </c>
      <c r="AK59" s="34">
        <v>624568484588</v>
      </c>
      <c r="AL59" s="34">
        <v>466408913884</v>
      </c>
      <c r="AM59" s="34">
        <v>7021183485885</v>
      </c>
      <c r="AN59" s="34">
        <v>6120492799994</v>
      </c>
      <c r="AO59" s="33">
        <v>0.35</v>
      </c>
      <c r="AP59" s="34">
        <v>2544487868635</v>
      </c>
      <c r="AQ59" s="34">
        <v>-60922941000</v>
      </c>
      <c r="AR59" s="34">
        <v>14124</v>
      </c>
      <c r="AS59" s="34">
        <v>1332</v>
      </c>
      <c r="AT59" s="34">
        <v>648373972428</v>
      </c>
      <c r="AU59" s="31">
        <v>17</v>
      </c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</row>
    <row r="60" spans="1:61" ht="46.5" x14ac:dyDescent="0.35">
      <c r="A60" s="31">
        <v>12</v>
      </c>
      <c r="B60" s="31" t="s">
        <v>73</v>
      </c>
      <c r="C60" s="32" t="s">
        <v>74</v>
      </c>
      <c r="D60" s="31">
        <v>2022</v>
      </c>
      <c r="E60" s="31"/>
      <c r="F60" s="43">
        <v>0.40789999999999998</v>
      </c>
      <c r="G60" s="43">
        <v>0</v>
      </c>
      <c r="H60" s="31" t="s">
        <v>52</v>
      </c>
      <c r="I60" s="43">
        <v>0.2031</v>
      </c>
      <c r="J60" s="34">
        <v>73606837</v>
      </c>
      <c r="K60" s="34">
        <v>23187514531782</v>
      </c>
      <c r="L60" s="34">
        <v>23181579818716</v>
      </c>
      <c r="M60" s="34">
        <v>8329093955830</v>
      </c>
      <c r="N60" s="34">
        <v>209785898048</v>
      </c>
      <c r="O60" s="34">
        <v>123433305078</v>
      </c>
      <c r="P60" s="34">
        <v>139348961585</v>
      </c>
      <c r="Q60" s="34">
        <v>1173731662196</v>
      </c>
      <c r="R60" s="34">
        <v>-615242862927</v>
      </c>
      <c r="S60" s="34">
        <v>3395615282117</v>
      </c>
      <c r="T60" s="34">
        <v>22239492366475</v>
      </c>
      <c r="U60" s="34">
        <v>595081281</v>
      </c>
      <c r="V60" s="34">
        <v>1006112827506</v>
      </c>
      <c r="W60" s="34">
        <v>4720557065011</v>
      </c>
      <c r="X60" s="31" t="s">
        <v>52</v>
      </c>
      <c r="Y60" s="55" t="s">
        <v>95</v>
      </c>
      <c r="Z60" s="31">
        <v>0</v>
      </c>
      <c r="AA60" s="61" t="s">
        <v>101</v>
      </c>
      <c r="AB60" s="31">
        <v>1</v>
      </c>
      <c r="AC60" s="34">
        <v>-651831083741</v>
      </c>
      <c r="AD60" s="34">
        <v>1723068883226</v>
      </c>
      <c r="AE60" s="69">
        <v>9670</v>
      </c>
      <c r="AF60" s="31">
        <v>711778113790</v>
      </c>
      <c r="AG60" s="34">
        <v>6606025072604</v>
      </c>
      <c r="AH60" s="34">
        <v>400206170794</v>
      </c>
      <c r="AI60" s="34">
        <v>85839623436</v>
      </c>
      <c r="AJ60" s="34">
        <v>-3019775037</v>
      </c>
      <c r="AK60" s="34">
        <v>813933205557</v>
      </c>
      <c r="AL60" s="34">
        <v>613560561250</v>
      </c>
      <c r="AM60" s="34">
        <v>6272892840592</v>
      </c>
      <c r="AN60" s="34">
        <v>5992464511354</v>
      </c>
      <c r="AO60" s="33">
        <v>0.09</v>
      </c>
      <c r="AP60" s="34">
        <v>1564776614788</v>
      </c>
      <c r="AQ60" s="34">
        <v>-30461470500</v>
      </c>
      <c r="AR60" s="34">
        <v>-8760</v>
      </c>
      <c r="AS60" s="34">
        <v>1399</v>
      </c>
      <c r="AT60" s="34">
        <v>740501293482</v>
      </c>
      <c r="AU60" s="31">
        <v>18</v>
      </c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</row>
    <row r="61" spans="1:61" ht="46.5" x14ac:dyDescent="0.35">
      <c r="A61" s="31">
        <v>12</v>
      </c>
      <c r="B61" s="31" t="s">
        <v>73</v>
      </c>
      <c r="C61" s="32" t="s">
        <v>74</v>
      </c>
      <c r="D61" s="31">
        <v>2023</v>
      </c>
      <c r="E61" s="31"/>
      <c r="F61" s="43">
        <v>0.40600000000000003</v>
      </c>
      <c r="G61" s="43">
        <v>0</v>
      </c>
      <c r="H61" s="31" t="s">
        <v>52</v>
      </c>
      <c r="I61" s="43">
        <v>0.20200000000000001</v>
      </c>
      <c r="J61" s="34">
        <v>73606837</v>
      </c>
      <c r="K61" s="34">
        <v>13703621127260</v>
      </c>
      <c r="L61" s="34">
        <v>13701576034586</v>
      </c>
      <c r="M61" s="34">
        <v>6178691063726</v>
      </c>
      <c r="N61" s="34">
        <v>122841658513</v>
      </c>
      <c r="O61" s="34">
        <v>623223853484</v>
      </c>
      <c r="P61" s="34">
        <v>138469319169</v>
      </c>
      <c r="Q61" s="34">
        <v>746981175620</v>
      </c>
      <c r="R61" s="34">
        <v>-913554361607</v>
      </c>
      <c r="S61" s="34">
        <v>1338203495095</v>
      </c>
      <c r="T61" s="34">
        <v>12916607678098</v>
      </c>
      <c r="U61" s="34">
        <v>3059875546</v>
      </c>
      <c r="V61" s="34">
        <v>615521414765</v>
      </c>
      <c r="W61" s="34">
        <v>2260483034907</v>
      </c>
      <c r="X61" s="31" t="s">
        <v>52</v>
      </c>
      <c r="Y61" s="55" t="s">
        <v>95</v>
      </c>
      <c r="Z61" s="31">
        <v>0</v>
      </c>
      <c r="AA61" s="61" t="s">
        <v>101</v>
      </c>
      <c r="AB61" s="31">
        <v>1</v>
      </c>
      <c r="AC61" s="34">
        <v>-925299043177</v>
      </c>
      <c r="AD61" s="34">
        <v>797769840049</v>
      </c>
      <c r="AE61" s="69">
        <v>10250</v>
      </c>
      <c r="AF61" s="31">
        <v>754470079250</v>
      </c>
      <c r="AG61" s="34">
        <v>5380921223677</v>
      </c>
      <c r="AH61" s="34">
        <v>441580036802</v>
      </c>
      <c r="AI61" s="34">
        <v>216421680681</v>
      </c>
      <c r="AJ61" s="34">
        <v>43841019610</v>
      </c>
      <c r="AK61" s="34">
        <v>669710791326</v>
      </c>
      <c r="AL61" s="34">
        <v>373915848733</v>
      </c>
      <c r="AM61" s="34">
        <v>3981869829063</v>
      </c>
      <c r="AN61" s="34">
        <v>5007005374944</v>
      </c>
      <c r="AO61" s="33">
        <v>-0.41</v>
      </c>
      <c r="AP61" s="34">
        <v>841377700626</v>
      </c>
      <c r="AQ61" s="31">
        <v>0</v>
      </c>
      <c r="AR61" s="34">
        <v>-12027</v>
      </c>
      <c r="AS61" s="34">
        <v>1155</v>
      </c>
      <c r="AT61" s="34">
        <v>1012009354742</v>
      </c>
      <c r="AU61" s="31">
        <v>19</v>
      </c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</row>
    <row r="62" spans="1:61" ht="46.5" x14ac:dyDescent="0.35">
      <c r="A62" s="31">
        <v>12</v>
      </c>
      <c r="B62" s="31" t="s">
        <v>73</v>
      </c>
      <c r="C62" s="32" t="s">
        <v>74</v>
      </c>
      <c r="D62" s="31">
        <v>2024</v>
      </c>
      <c r="E62" s="31"/>
      <c r="F62" s="43">
        <v>0.46899999999999997</v>
      </c>
      <c r="G62" s="43">
        <v>0</v>
      </c>
      <c r="H62" s="31" t="s">
        <v>52</v>
      </c>
      <c r="I62" s="43">
        <v>0.20300000000000001</v>
      </c>
      <c r="J62" s="34">
        <v>73606837</v>
      </c>
      <c r="K62" s="34">
        <v>8931097877784</v>
      </c>
      <c r="L62" s="34">
        <v>8929794811796</v>
      </c>
      <c r="M62" s="34">
        <v>4778182548265</v>
      </c>
      <c r="N62" s="34">
        <v>91911028525</v>
      </c>
      <c r="O62" s="34">
        <v>-95466546960</v>
      </c>
      <c r="P62" s="34">
        <v>103782776197</v>
      </c>
      <c r="Q62" s="34">
        <v>460117824534</v>
      </c>
      <c r="R62" s="34">
        <v>11977042638</v>
      </c>
      <c r="S62" s="34">
        <v>2360772353686</v>
      </c>
      <c r="T62" s="34">
        <v>8710444132239</v>
      </c>
      <c r="U62" s="34">
        <v>1322497781</v>
      </c>
      <c r="V62" s="34">
        <v>325798693670</v>
      </c>
      <c r="W62" s="34">
        <v>2955534527372</v>
      </c>
      <c r="X62" s="31" t="s">
        <v>52</v>
      </c>
      <c r="Y62" s="55" t="s">
        <v>95</v>
      </c>
      <c r="Z62" s="31">
        <v>0</v>
      </c>
      <c r="AA62" s="61" t="s">
        <v>101</v>
      </c>
      <c r="AB62" s="31">
        <v>1</v>
      </c>
      <c r="AC62" s="34">
        <v>12074172964</v>
      </c>
      <c r="AD62" s="34">
        <v>809844013013</v>
      </c>
      <c r="AE62" s="69">
        <v>8360</v>
      </c>
      <c r="AF62" s="31">
        <v>615353157320</v>
      </c>
      <c r="AG62" s="34">
        <v>3968338535252</v>
      </c>
      <c r="AH62" s="34">
        <v>-508075438005</v>
      </c>
      <c r="AI62" s="34">
        <v>0</v>
      </c>
      <c r="AJ62" s="34">
        <v>610294584668</v>
      </c>
      <c r="AK62" s="34">
        <v>143281861697</v>
      </c>
      <c r="AL62" s="34">
        <v>259054597276</v>
      </c>
      <c r="AM62" s="34">
        <v>3086659368507</v>
      </c>
      <c r="AN62" s="34">
        <v>3709283937976</v>
      </c>
      <c r="AO62" s="33">
        <v>-0.35</v>
      </c>
      <c r="AP62" s="34">
        <v>627737119083</v>
      </c>
      <c r="AQ62" s="31">
        <v>0</v>
      </c>
      <c r="AR62" s="31">
        <v>397</v>
      </c>
      <c r="AS62" s="31">
        <v>864</v>
      </c>
      <c r="AT62" s="34">
        <v>829878313043</v>
      </c>
      <c r="AU62" s="31">
        <v>20</v>
      </c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</row>
    <row r="63" spans="1:61" ht="31" x14ac:dyDescent="0.35">
      <c r="A63" s="11">
        <v>13</v>
      </c>
      <c r="B63" s="11" t="s">
        <v>75</v>
      </c>
      <c r="C63" s="12" t="s">
        <v>76</v>
      </c>
      <c r="D63" s="11">
        <v>2020</v>
      </c>
      <c r="E63" s="11"/>
      <c r="F63" s="36">
        <v>1.5E-3</v>
      </c>
      <c r="G63" s="36" t="s">
        <v>52</v>
      </c>
      <c r="H63" s="36">
        <v>4.3200000000000002E-2</v>
      </c>
      <c r="I63" s="36">
        <v>2.1600000000000001E-2</v>
      </c>
      <c r="J63" s="37">
        <v>26207583</v>
      </c>
      <c r="K63" s="37">
        <v>1899749410421</v>
      </c>
      <c r="L63" s="37">
        <v>1899749410421</v>
      </c>
      <c r="M63" s="37">
        <v>911619959485</v>
      </c>
      <c r="N63" s="37">
        <v>24461936589</v>
      </c>
      <c r="O63" s="37">
        <v>61221410405</v>
      </c>
      <c r="P63" s="37">
        <v>4843881325</v>
      </c>
      <c r="Q63" s="37" t="s">
        <v>52</v>
      </c>
      <c r="R63" s="37">
        <v>161049408328</v>
      </c>
      <c r="S63" s="37" t="s">
        <v>52</v>
      </c>
      <c r="T63" s="37">
        <v>1630775360209</v>
      </c>
      <c r="U63" s="37">
        <v>444168939</v>
      </c>
      <c r="V63" s="37">
        <v>3956051869</v>
      </c>
      <c r="W63" s="37" t="s">
        <v>52</v>
      </c>
      <c r="X63" s="39" t="s">
        <v>52</v>
      </c>
      <c r="Y63" s="55" t="s">
        <v>95</v>
      </c>
      <c r="Z63" s="47">
        <v>0</v>
      </c>
      <c r="AA63" s="74" t="s">
        <v>102</v>
      </c>
      <c r="AB63" s="39">
        <v>0</v>
      </c>
      <c r="AC63" s="37">
        <v>128947567861</v>
      </c>
      <c r="AD63" s="37">
        <v>730638429829</v>
      </c>
      <c r="AE63" s="73">
        <v>21263</v>
      </c>
      <c r="AF63" s="37">
        <v>557129796129</v>
      </c>
      <c r="AG63" s="37">
        <v>180981529656</v>
      </c>
      <c r="AH63" s="37">
        <v>227571706882</v>
      </c>
      <c r="AI63" s="37">
        <v>291950000</v>
      </c>
      <c r="AJ63" s="37">
        <v>-4489586</v>
      </c>
      <c r="AK63" s="37">
        <v>55820130138</v>
      </c>
      <c r="AL63" s="37">
        <v>505995082</v>
      </c>
      <c r="AM63" s="37">
        <v>839016028081</v>
      </c>
      <c r="AN63" s="37">
        <v>180475534574</v>
      </c>
      <c r="AO63" s="36">
        <v>1.4999999999999999E-2</v>
      </c>
      <c r="AP63" s="37">
        <v>599567026308</v>
      </c>
      <c r="AQ63" s="37">
        <v>-78622749</v>
      </c>
      <c r="AR63" s="37">
        <v>4477</v>
      </c>
      <c r="AS63" s="39">
        <v>307</v>
      </c>
      <c r="AT63" s="37">
        <v>54104614133</v>
      </c>
      <c r="AU63" s="39">
        <v>28</v>
      </c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</row>
    <row r="64" spans="1:61" ht="31" x14ac:dyDescent="0.35">
      <c r="A64" s="11">
        <v>13</v>
      </c>
      <c r="B64" s="11" t="s">
        <v>75</v>
      </c>
      <c r="C64" s="12" t="s">
        <v>76</v>
      </c>
      <c r="D64" s="11">
        <v>2021</v>
      </c>
      <c r="E64" s="11"/>
      <c r="F64" s="36">
        <v>1.2999999999999999E-3</v>
      </c>
      <c r="G64" s="36" t="s">
        <v>52</v>
      </c>
      <c r="H64" s="36">
        <v>4.1200000000000001E-2</v>
      </c>
      <c r="I64" s="36">
        <v>1.9400000000000001E-2</v>
      </c>
      <c r="J64" s="37">
        <v>26207583</v>
      </c>
      <c r="K64" s="37">
        <v>2142096427823</v>
      </c>
      <c r="L64" s="37">
        <v>2142096427823</v>
      </c>
      <c r="M64" s="37">
        <v>1050169038970</v>
      </c>
      <c r="N64" s="37">
        <v>27059013149</v>
      </c>
      <c r="O64" s="37">
        <v>76074878920</v>
      </c>
      <c r="P64" s="37">
        <v>4457537275</v>
      </c>
      <c r="Q64" s="37">
        <v>137886893004</v>
      </c>
      <c r="R64" s="37">
        <v>177404439543</v>
      </c>
      <c r="S64" s="37">
        <v>1670958811476</v>
      </c>
      <c r="T64" s="37">
        <v>1992103321676</v>
      </c>
      <c r="U64" s="37">
        <v>16144882</v>
      </c>
      <c r="V64" s="37">
        <v>53450843205</v>
      </c>
      <c r="W64" s="37">
        <v>1947831894998</v>
      </c>
      <c r="X64" s="39" t="s">
        <v>52</v>
      </c>
      <c r="Y64" s="55" t="s">
        <v>95</v>
      </c>
      <c r="Z64" s="47">
        <v>0</v>
      </c>
      <c r="AA64" s="74" t="s">
        <v>102</v>
      </c>
      <c r="AB64" s="39">
        <v>0</v>
      </c>
      <c r="AC64" s="37">
        <v>142199568750</v>
      </c>
      <c r="AD64" s="37">
        <v>773990948519</v>
      </c>
      <c r="AE64" s="73">
        <v>25858</v>
      </c>
      <c r="AF64" s="37">
        <v>677675681214</v>
      </c>
      <c r="AG64" s="37">
        <v>276178090451</v>
      </c>
      <c r="AH64" s="37">
        <v>-14250987600</v>
      </c>
      <c r="AI64" s="37">
        <v>4076779846</v>
      </c>
      <c r="AJ64" s="37">
        <v>10057582659</v>
      </c>
      <c r="AK64" s="37">
        <v>61971518986</v>
      </c>
      <c r="AL64" s="37">
        <v>505995082</v>
      </c>
      <c r="AM64" s="37">
        <v>839016028081</v>
      </c>
      <c r="AN64" s="37">
        <v>275672095369</v>
      </c>
      <c r="AO64" s="36">
        <v>0.12759999999999999</v>
      </c>
      <c r="AP64" s="37">
        <v>734664605507</v>
      </c>
      <c r="AQ64" s="37">
        <v>-78622749000</v>
      </c>
      <c r="AR64" s="37">
        <v>4651</v>
      </c>
      <c r="AS64" s="39">
        <v>308</v>
      </c>
      <c r="AT64" s="37">
        <v>26575031014</v>
      </c>
      <c r="AU64" s="39">
        <v>29</v>
      </c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</row>
    <row r="65" spans="1:61" ht="33" x14ac:dyDescent="0.35">
      <c r="A65" s="11">
        <v>13</v>
      </c>
      <c r="B65" s="11" t="s">
        <v>75</v>
      </c>
      <c r="C65" s="12" t="s">
        <v>76</v>
      </c>
      <c r="D65" s="11">
        <v>2022</v>
      </c>
      <c r="E65" s="11"/>
      <c r="F65" s="36">
        <v>6.4999999999999997E-4</v>
      </c>
      <c r="G65" s="36" t="s">
        <v>52</v>
      </c>
      <c r="H65" s="36">
        <v>4.0800000000000003E-2</v>
      </c>
      <c r="I65" s="36">
        <v>2.4199999999999999E-2</v>
      </c>
      <c r="J65" s="37">
        <v>26207583</v>
      </c>
      <c r="K65" s="37">
        <v>2304869186924</v>
      </c>
      <c r="L65" s="37">
        <v>2304869186924</v>
      </c>
      <c r="M65" s="37">
        <v>1385113013339</v>
      </c>
      <c r="N65" s="37">
        <v>31695752718</v>
      </c>
      <c r="O65" s="37">
        <v>78098236348</v>
      </c>
      <c r="P65" s="37">
        <v>4162780560</v>
      </c>
      <c r="Q65" s="37">
        <v>144499504356</v>
      </c>
      <c r="R65" s="37">
        <v>174699199680</v>
      </c>
      <c r="S65" s="37">
        <v>1807878605978</v>
      </c>
      <c r="T65" s="37">
        <v>2274171753997</v>
      </c>
      <c r="U65" s="37">
        <v>67296050</v>
      </c>
      <c r="V65" s="37">
        <v>57068302822</v>
      </c>
      <c r="W65" s="37">
        <v>2085314381764</v>
      </c>
      <c r="X65" s="39" t="s">
        <v>52</v>
      </c>
      <c r="Y65" s="55" t="s">
        <v>95</v>
      </c>
      <c r="Z65" s="47">
        <v>0</v>
      </c>
      <c r="AA65" s="61" t="s">
        <v>101</v>
      </c>
      <c r="AB65" s="39">
        <v>1</v>
      </c>
      <c r="AC65" s="37">
        <v>140450356519</v>
      </c>
      <c r="AD65" s="37">
        <v>841640609364</v>
      </c>
      <c r="AE65" s="73">
        <v>23912</v>
      </c>
      <c r="AF65" s="37">
        <v>626675724696</v>
      </c>
      <c r="AG65" s="37">
        <v>543472403975</v>
      </c>
      <c r="AH65" s="37">
        <v>-94740123628</v>
      </c>
      <c r="AI65" s="37">
        <v>40090065106</v>
      </c>
      <c r="AJ65" s="37">
        <v>-39932392254</v>
      </c>
      <c r="AK65" s="37">
        <v>24018704684</v>
      </c>
      <c r="AL65" s="37">
        <v>505995082</v>
      </c>
      <c r="AM65" s="37">
        <v>1340988754015</v>
      </c>
      <c r="AN65" s="37">
        <v>542966408893</v>
      </c>
      <c r="AO65" s="36">
        <v>7.5999999999999998E-2</v>
      </c>
      <c r="AP65" s="37">
        <v>1026571466827</v>
      </c>
      <c r="AQ65" s="37">
        <v>-65518957500</v>
      </c>
      <c r="AR65" s="37">
        <v>4823</v>
      </c>
      <c r="AS65" s="39">
        <v>304</v>
      </c>
      <c r="AT65" s="37">
        <v>33502272845</v>
      </c>
      <c r="AU65" s="39">
        <v>30</v>
      </c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</row>
    <row r="66" spans="1:61" ht="33" x14ac:dyDescent="0.35">
      <c r="A66" s="11">
        <v>13</v>
      </c>
      <c r="B66" s="11" t="s">
        <v>75</v>
      </c>
      <c r="C66" s="12" t="s">
        <v>76</v>
      </c>
      <c r="D66" s="11">
        <v>2023</v>
      </c>
      <c r="E66" s="11"/>
      <c r="F66" s="36">
        <v>7.0000000000000001E-3</v>
      </c>
      <c r="G66" s="36" t="s">
        <v>52</v>
      </c>
      <c r="H66" s="36">
        <v>4.0800000000000003E-2</v>
      </c>
      <c r="I66" s="36">
        <v>2.5700000000000001E-2</v>
      </c>
      <c r="J66" s="37">
        <v>26207583</v>
      </c>
      <c r="K66" s="37">
        <v>2970911732676</v>
      </c>
      <c r="L66" s="37">
        <v>2970830028691</v>
      </c>
      <c r="M66" s="37">
        <v>1566793217359</v>
      </c>
      <c r="N66" s="37">
        <v>34714384478</v>
      </c>
      <c r="O66" s="37">
        <v>78418027049</v>
      </c>
      <c r="P66" s="37">
        <v>4518331133</v>
      </c>
      <c r="Q66" s="37">
        <v>136238672924</v>
      </c>
      <c r="R66" s="37">
        <v>180054586660</v>
      </c>
      <c r="S66" s="37">
        <v>2444695571317</v>
      </c>
      <c r="T66" s="37">
        <v>2707438799074</v>
      </c>
      <c r="U66" s="37">
        <v>40385674</v>
      </c>
      <c r="V66" s="37">
        <v>61935305018</v>
      </c>
      <c r="W66" s="37">
        <v>2710002133011</v>
      </c>
      <c r="X66" s="39" t="s">
        <v>52</v>
      </c>
      <c r="Y66" s="55" t="s">
        <v>95</v>
      </c>
      <c r="Z66" s="47">
        <v>0</v>
      </c>
      <c r="AA66" s="61" t="s">
        <v>101</v>
      </c>
      <c r="AB66" s="39">
        <v>1</v>
      </c>
      <c r="AC66" s="37">
        <v>143976462812</v>
      </c>
      <c r="AD66" s="37">
        <v>875597320516</v>
      </c>
      <c r="AE66" s="73">
        <v>30997</v>
      </c>
      <c r="AF66" s="37">
        <v>812356435851</v>
      </c>
      <c r="AG66" s="37">
        <v>691195896843</v>
      </c>
      <c r="AH66" s="37">
        <v>100387203010</v>
      </c>
      <c r="AI66" s="37">
        <v>41545455963</v>
      </c>
      <c r="AJ66" s="37">
        <v>-41392425537</v>
      </c>
      <c r="AK66" s="37">
        <v>27684777127</v>
      </c>
      <c r="AL66" s="37">
        <v>505995082</v>
      </c>
      <c r="AM66" s="37">
        <v>1452788973105</v>
      </c>
      <c r="AN66" s="37">
        <v>690689901761</v>
      </c>
      <c r="AO66" s="36">
        <v>0.28899999999999998</v>
      </c>
      <c r="AP66" s="37">
        <v>1094837436546</v>
      </c>
      <c r="AQ66" s="37">
        <v>-91726540500</v>
      </c>
      <c r="AR66" s="37">
        <v>4820</v>
      </c>
      <c r="AS66" s="39">
        <v>297</v>
      </c>
      <c r="AT66" s="37">
        <v>20344089632</v>
      </c>
      <c r="AU66" s="39">
        <v>31</v>
      </c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</row>
    <row r="67" spans="1:61" ht="33" x14ac:dyDescent="0.35">
      <c r="A67" s="11">
        <v>13</v>
      </c>
      <c r="B67" s="11" t="s">
        <v>75</v>
      </c>
      <c r="C67" s="12" t="s">
        <v>76</v>
      </c>
      <c r="D67" s="11">
        <v>2024</v>
      </c>
      <c r="E67" s="11"/>
      <c r="F67" s="36">
        <v>8.3999999999999995E-3</v>
      </c>
      <c r="G67" s="36" t="s">
        <v>52</v>
      </c>
      <c r="H67" s="36">
        <v>4.07E-2</v>
      </c>
      <c r="I67" s="36">
        <v>2.0799999999999999E-2</v>
      </c>
      <c r="J67" s="37">
        <v>26207583</v>
      </c>
      <c r="K67" s="37">
        <v>3691795747506</v>
      </c>
      <c r="L67" s="37">
        <v>3691723816321</v>
      </c>
      <c r="M67" s="37">
        <v>1955275823603</v>
      </c>
      <c r="N67" s="37">
        <v>45179244546</v>
      </c>
      <c r="O67" s="37">
        <v>112988621976</v>
      </c>
      <c r="P67" s="37">
        <v>3622945250</v>
      </c>
      <c r="Q67" s="37">
        <v>206826490775</v>
      </c>
      <c r="R67" s="37">
        <v>189488093767</v>
      </c>
      <c r="S67" s="37">
        <v>3051466823653</v>
      </c>
      <c r="T67" s="37">
        <v>3581597567588</v>
      </c>
      <c r="U67" s="37">
        <v>125540520</v>
      </c>
      <c r="V67" s="37">
        <v>64848087688</v>
      </c>
      <c r="W67" s="37">
        <v>3406831215215</v>
      </c>
      <c r="X67" s="39" t="s">
        <v>52</v>
      </c>
      <c r="Y67" s="55" t="s">
        <v>95</v>
      </c>
      <c r="Z67" s="47">
        <v>0</v>
      </c>
      <c r="AA67" s="61" t="s">
        <v>101</v>
      </c>
      <c r="AB67" s="39">
        <v>1</v>
      </c>
      <c r="AC67" s="37">
        <v>150229088842</v>
      </c>
      <c r="AD67" s="37">
        <v>909803704136</v>
      </c>
      <c r="AE67" s="73">
        <v>46958</v>
      </c>
      <c r="AF67" s="37">
        <v>1230655682514</v>
      </c>
      <c r="AG67" s="37">
        <v>1045472119467</v>
      </c>
      <c r="AH67" s="37">
        <v>-130958329159</v>
      </c>
      <c r="AI67" s="37">
        <v>88607229378</v>
      </c>
      <c r="AJ67" s="37">
        <v>-94527098956</v>
      </c>
      <c r="AK67" s="37">
        <v>32039406447</v>
      </c>
      <c r="AL67" s="37">
        <v>20777353744</v>
      </c>
      <c r="AM67" s="37">
        <v>1841282095680</v>
      </c>
      <c r="AN67" s="37">
        <v>1024694765723</v>
      </c>
      <c r="AO67" s="36">
        <v>0.24260000000000001</v>
      </c>
      <c r="AP67" s="37">
        <v>1391721925552</v>
      </c>
      <c r="AQ67" s="37">
        <v>-104830332000</v>
      </c>
      <c r="AR67" s="37">
        <v>5159</v>
      </c>
      <c r="AS67" s="39">
        <v>301</v>
      </c>
      <c r="AT67" s="37">
        <v>106875855954</v>
      </c>
      <c r="AU67" s="39">
        <v>32</v>
      </c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</row>
    <row r="68" spans="1:61" ht="31" x14ac:dyDescent="0.35">
      <c r="A68" s="31">
        <v>14</v>
      </c>
      <c r="B68" s="31" t="s">
        <v>77</v>
      </c>
      <c r="C68" s="32" t="s">
        <v>78</v>
      </c>
      <c r="D68" s="31">
        <v>2020</v>
      </c>
      <c r="E68" s="31"/>
      <c r="F68" s="43" t="s">
        <v>52</v>
      </c>
      <c r="G68" s="43">
        <v>0</v>
      </c>
      <c r="H68" s="43">
        <v>0.32350000000000001</v>
      </c>
      <c r="I68" s="43">
        <v>5.3E-3</v>
      </c>
      <c r="J68" s="34">
        <v>109154493</v>
      </c>
      <c r="K68" s="34">
        <v>3295388684623</v>
      </c>
      <c r="L68" s="34">
        <v>3288654434718</v>
      </c>
      <c r="M68" s="34">
        <v>9731757624586</v>
      </c>
      <c r="N68" s="34">
        <v>205203833489</v>
      </c>
      <c r="O68" s="34">
        <v>262846538239</v>
      </c>
      <c r="P68" s="34">
        <v>371088195752</v>
      </c>
      <c r="Q68" s="34">
        <v>768134699698</v>
      </c>
      <c r="R68" s="34">
        <v>33374481296</v>
      </c>
      <c r="S68" s="34">
        <v>1968265303345</v>
      </c>
      <c r="T68" s="34">
        <v>2782145803152</v>
      </c>
      <c r="U68" s="34">
        <v>20717008976</v>
      </c>
      <c r="V68" s="34">
        <v>416920632441</v>
      </c>
      <c r="W68" s="34">
        <v>3182405162214</v>
      </c>
      <c r="X68" s="31" t="s">
        <v>52</v>
      </c>
      <c r="Y68" s="61" t="s">
        <v>100</v>
      </c>
      <c r="Z68" s="31">
        <v>1</v>
      </c>
      <c r="AA68" s="62" t="s">
        <v>95</v>
      </c>
      <c r="AB68" s="31">
        <v>0</v>
      </c>
      <c r="AC68" s="34">
        <v>27085205476</v>
      </c>
      <c r="AD68" s="34">
        <v>2754855936176</v>
      </c>
      <c r="AE68" s="69">
        <v>18000</v>
      </c>
      <c r="AF68" s="31">
        <v>1964780874000</v>
      </c>
      <c r="AG68" s="34">
        <v>6976901688410</v>
      </c>
      <c r="AH68" s="34">
        <v>227623070328</v>
      </c>
      <c r="AI68" s="34">
        <v>399085334483</v>
      </c>
      <c r="AJ68" s="34">
        <v>-1113521578422</v>
      </c>
      <c r="AK68" s="34">
        <v>107099977436</v>
      </c>
      <c r="AL68" s="34">
        <v>4402585270240</v>
      </c>
      <c r="AM68" s="34">
        <v>3129321210460</v>
      </c>
      <c r="AN68" s="34">
        <v>2574316418170</v>
      </c>
      <c r="AO68" s="33">
        <v>0.1666</v>
      </c>
      <c r="AP68" s="34">
        <v>593256385880</v>
      </c>
      <c r="AQ68" s="34">
        <v>-5449766986</v>
      </c>
      <c r="AR68" s="31">
        <v>132</v>
      </c>
      <c r="AS68" s="31" t="s">
        <v>52</v>
      </c>
      <c r="AT68" s="34">
        <v>4686309351838</v>
      </c>
      <c r="AU68" s="31">
        <v>44</v>
      </c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</row>
    <row r="69" spans="1:61" ht="33" x14ac:dyDescent="0.35">
      <c r="A69" s="31">
        <v>14</v>
      </c>
      <c r="B69" s="31" t="s">
        <v>77</v>
      </c>
      <c r="C69" s="32" t="s">
        <v>78</v>
      </c>
      <c r="D69" s="31">
        <v>2021</v>
      </c>
      <c r="E69" s="31"/>
      <c r="F69" s="43">
        <v>0.1128</v>
      </c>
      <c r="G69" s="43">
        <v>0</v>
      </c>
      <c r="H69" s="43">
        <v>0.31659999999999999</v>
      </c>
      <c r="I69" s="43">
        <v>2.3999999999999998E-3</v>
      </c>
      <c r="J69" s="34">
        <v>118909913</v>
      </c>
      <c r="K69" s="34">
        <v>6315325559458</v>
      </c>
      <c r="L69" s="34">
        <v>6237419990687</v>
      </c>
      <c r="M69" s="34">
        <v>14040007803512</v>
      </c>
      <c r="N69" s="34">
        <v>336077185387</v>
      </c>
      <c r="O69" s="34">
        <v>390963935281</v>
      </c>
      <c r="P69" s="34">
        <v>1830796222829</v>
      </c>
      <c r="Q69" s="34">
        <v>1253609296616</v>
      </c>
      <c r="R69" s="34">
        <v>-208680335</v>
      </c>
      <c r="S69" s="34">
        <v>4026457675968</v>
      </c>
      <c r="T69" s="34">
        <v>5920898112260</v>
      </c>
      <c r="U69" s="34">
        <v>29278554193</v>
      </c>
      <c r="V69" s="31" t="s">
        <v>52</v>
      </c>
      <c r="W69" s="34">
        <v>5976969228345</v>
      </c>
      <c r="X69" s="31" t="s">
        <v>52</v>
      </c>
      <c r="Y69" s="61" t="s">
        <v>100</v>
      </c>
      <c r="Z69" s="31">
        <v>1</v>
      </c>
      <c r="AA69" s="61" t="s">
        <v>101</v>
      </c>
      <c r="AB69" s="31">
        <v>1</v>
      </c>
      <c r="AC69" s="34">
        <v>22746196895</v>
      </c>
      <c r="AD69" s="34">
        <v>3916171712435</v>
      </c>
      <c r="AE69" s="69">
        <v>19500</v>
      </c>
      <c r="AF69" s="31">
        <v>2318743303500</v>
      </c>
      <c r="AG69" s="34">
        <v>10123836091077</v>
      </c>
      <c r="AH69" s="34">
        <v>158264852948</v>
      </c>
      <c r="AI69" s="34">
        <v>677285306134</v>
      </c>
      <c r="AJ69" s="34">
        <v>-1453580833835</v>
      </c>
      <c r="AK69" s="34">
        <v>129486697840</v>
      </c>
      <c r="AL69" s="34">
        <v>6462088229533</v>
      </c>
      <c r="AM69" s="34">
        <v>4760222547773</v>
      </c>
      <c r="AN69" s="34">
        <v>3661747861544</v>
      </c>
      <c r="AO69" s="33">
        <v>0.91639999999999999</v>
      </c>
      <c r="AP69" s="34">
        <v>1251787320381</v>
      </c>
      <c r="AQ69" s="34">
        <v>-19505989512</v>
      </c>
      <c r="AR69" s="31">
        <v>76</v>
      </c>
      <c r="AS69" s="34">
        <v>4219</v>
      </c>
      <c r="AT69" s="34">
        <v>5360395964236</v>
      </c>
      <c r="AU69" s="31">
        <v>45</v>
      </c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</row>
    <row r="70" spans="1:61" ht="33" x14ac:dyDescent="0.35">
      <c r="A70" s="31">
        <v>14</v>
      </c>
      <c r="B70" s="31" t="s">
        <v>77</v>
      </c>
      <c r="C70" s="32" t="s">
        <v>78</v>
      </c>
      <c r="D70" s="31">
        <v>2022</v>
      </c>
      <c r="E70" s="31"/>
      <c r="F70" s="43">
        <v>0.1118</v>
      </c>
      <c r="G70" s="43">
        <v>0</v>
      </c>
      <c r="H70" s="43" t="s">
        <v>52</v>
      </c>
      <c r="I70" s="43" t="s">
        <v>52</v>
      </c>
      <c r="J70" s="34">
        <v>118909913</v>
      </c>
      <c r="K70" s="34">
        <v>7752284820719</v>
      </c>
      <c r="L70" s="34">
        <v>7692849493503</v>
      </c>
      <c r="M70" s="34">
        <v>16528853135802</v>
      </c>
      <c r="N70" s="34">
        <v>444843263796</v>
      </c>
      <c r="O70" s="34">
        <v>434151250448</v>
      </c>
      <c r="P70" s="34">
        <v>1654535989276</v>
      </c>
      <c r="Q70" s="34">
        <v>1407280786568</v>
      </c>
      <c r="R70" s="34">
        <v>157102479655</v>
      </c>
      <c r="S70" s="34">
        <v>5046785855417</v>
      </c>
      <c r="T70" s="34">
        <v>6639345169979</v>
      </c>
      <c r="U70" s="34">
        <v>18039248477</v>
      </c>
      <c r="V70" s="31" t="s">
        <v>52</v>
      </c>
      <c r="W70" s="34">
        <v>7286790019319</v>
      </c>
      <c r="X70" s="31" t="s">
        <v>52</v>
      </c>
      <c r="Y70" s="61" t="s">
        <v>100</v>
      </c>
      <c r="Z70" s="31">
        <v>1</v>
      </c>
      <c r="AA70" s="61" t="s">
        <v>101</v>
      </c>
      <c r="AB70" s="31">
        <v>1</v>
      </c>
      <c r="AC70" s="34">
        <v>94852148494</v>
      </c>
      <c r="AD70" s="34">
        <v>4560886399848</v>
      </c>
      <c r="AE70" s="69">
        <v>24000</v>
      </c>
      <c r="AF70" s="31">
        <v>2853837912000</v>
      </c>
      <c r="AG70" s="34">
        <v>11967966735954</v>
      </c>
      <c r="AH70" s="34">
        <v>-313527998638</v>
      </c>
      <c r="AI70" s="34">
        <v>996213386656</v>
      </c>
      <c r="AJ70" s="34">
        <v>-306898181899</v>
      </c>
      <c r="AK70" s="34">
        <v>658938263146</v>
      </c>
      <c r="AL70" s="34">
        <v>5790169919759</v>
      </c>
      <c r="AM70" s="34">
        <v>7603842882014</v>
      </c>
      <c r="AN70" s="34">
        <v>6177796816195</v>
      </c>
      <c r="AO70" s="33">
        <v>0.22750000000000001</v>
      </c>
      <c r="AP70" s="34">
        <v>1487603780913</v>
      </c>
      <c r="AQ70" s="34">
        <v>-22059256358</v>
      </c>
      <c r="AR70" s="31">
        <v>37</v>
      </c>
      <c r="AS70" s="34">
        <v>4356</v>
      </c>
      <c r="AT70" s="34">
        <v>5129407241168</v>
      </c>
      <c r="AU70" s="31">
        <v>46</v>
      </c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</row>
    <row r="71" spans="1:61" ht="33" x14ac:dyDescent="0.35">
      <c r="A71" s="31">
        <v>14</v>
      </c>
      <c r="B71" s="31" t="s">
        <v>77</v>
      </c>
      <c r="C71" s="32" t="s">
        <v>78</v>
      </c>
      <c r="D71" s="31">
        <v>2023</v>
      </c>
      <c r="E71" s="31"/>
      <c r="F71" s="43" t="s">
        <v>52</v>
      </c>
      <c r="G71" s="43">
        <v>0</v>
      </c>
      <c r="H71" s="43" t="s">
        <v>52</v>
      </c>
      <c r="I71" s="43" t="s">
        <v>52</v>
      </c>
      <c r="J71" s="34">
        <v>118909913</v>
      </c>
      <c r="K71" s="34">
        <v>7769672257671</v>
      </c>
      <c r="L71" s="34">
        <v>7579411153117</v>
      </c>
      <c r="M71" s="34">
        <v>16076744988485</v>
      </c>
      <c r="N71" s="34">
        <v>475804884772</v>
      </c>
      <c r="O71" s="34">
        <v>442837070749</v>
      </c>
      <c r="P71" s="34">
        <v>1607647236792</v>
      </c>
      <c r="Q71" s="34">
        <v>1567859621865</v>
      </c>
      <c r="R71" s="34">
        <v>192700600827</v>
      </c>
      <c r="S71" s="34">
        <v>4842355463208</v>
      </c>
      <c r="T71" s="34">
        <v>6274330367658</v>
      </c>
      <c r="U71" s="34">
        <v>8946547163</v>
      </c>
      <c r="V71" s="31" t="s">
        <v>52</v>
      </c>
      <c r="W71" s="34">
        <v>7176090430897</v>
      </c>
      <c r="X71" s="31" t="s">
        <v>52</v>
      </c>
      <c r="Y71" s="61" t="s">
        <v>100</v>
      </c>
      <c r="Z71" s="31">
        <v>1</v>
      </c>
      <c r="AA71" s="61" t="s">
        <v>101</v>
      </c>
      <c r="AB71" s="31">
        <v>1</v>
      </c>
      <c r="AC71" s="34">
        <v>127934575517</v>
      </c>
      <c r="AD71" s="34">
        <v>4658498369133</v>
      </c>
      <c r="AE71" s="69">
        <v>22000</v>
      </c>
      <c r="AF71" s="31">
        <v>2616018086000</v>
      </c>
      <c r="AG71" s="34">
        <v>11418246619352</v>
      </c>
      <c r="AH71" s="34">
        <v>514357698106</v>
      </c>
      <c r="AI71" s="34">
        <v>304559313782</v>
      </c>
      <c r="AJ71" s="34">
        <v>-743002100021</v>
      </c>
      <c r="AK71" s="34">
        <v>727172283500</v>
      </c>
      <c r="AL71" s="34">
        <v>5319432281040</v>
      </c>
      <c r="AM71" s="34">
        <v>8307329570423</v>
      </c>
      <c r="AN71" s="34">
        <v>6098814338312</v>
      </c>
      <c r="AO71" s="33">
        <v>2.2000000000000001E-3</v>
      </c>
      <c r="AP71" s="34">
        <v>1503263286642</v>
      </c>
      <c r="AQ71" s="34">
        <v>-20564250192</v>
      </c>
      <c r="AR71" s="31">
        <v>340</v>
      </c>
      <c r="AS71" s="34">
        <v>3671</v>
      </c>
      <c r="AT71" s="34">
        <v>4113555696990</v>
      </c>
      <c r="AU71" s="31">
        <v>47</v>
      </c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</row>
    <row r="72" spans="1:61" ht="33" x14ac:dyDescent="0.35">
      <c r="A72" s="31">
        <v>14</v>
      </c>
      <c r="B72" s="31" t="s">
        <v>77</v>
      </c>
      <c r="C72" s="32" t="s">
        <v>78</v>
      </c>
      <c r="D72" s="31">
        <v>2024</v>
      </c>
      <c r="E72" s="31"/>
      <c r="F72" s="43">
        <v>4.2799999999999998E-2</v>
      </c>
      <c r="G72" s="43">
        <v>0</v>
      </c>
      <c r="H72" s="43" t="s">
        <v>52</v>
      </c>
      <c r="I72" s="43" t="s">
        <v>52</v>
      </c>
      <c r="J72" s="34">
        <v>140966036</v>
      </c>
      <c r="K72" s="34">
        <v>9080994413188</v>
      </c>
      <c r="L72" s="34">
        <v>8898420034233</v>
      </c>
      <c r="M72" s="34">
        <v>17673463331856</v>
      </c>
      <c r="N72" s="34">
        <v>527120243660</v>
      </c>
      <c r="O72" s="34">
        <v>467256252225</v>
      </c>
      <c r="P72" s="34">
        <v>1324854339303</v>
      </c>
      <c r="Q72" s="34">
        <v>1601593064924</v>
      </c>
      <c r="R72" s="34">
        <v>431193010644</v>
      </c>
      <c r="S72" s="34">
        <v>5982755503111</v>
      </c>
      <c r="T72" s="34">
        <v>7470304011891</v>
      </c>
      <c r="U72" s="34">
        <v>10393200831</v>
      </c>
      <c r="V72" s="31" t="s">
        <v>52</v>
      </c>
      <c r="W72" s="34">
        <v>8384726603211</v>
      </c>
      <c r="X72" s="31" t="s">
        <v>52</v>
      </c>
      <c r="Y72" s="61" t="s">
        <v>100</v>
      </c>
      <c r="Z72" s="31">
        <v>1</v>
      </c>
      <c r="AA72" s="61" t="s">
        <v>101</v>
      </c>
      <c r="AB72" s="31">
        <v>1</v>
      </c>
      <c r="AC72" s="34">
        <v>191791308858</v>
      </c>
      <c r="AD72" s="34">
        <v>6075281539977</v>
      </c>
      <c r="AE72" s="69">
        <v>20500</v>
      </c>
      <c r="AF72" s="31">
        <v>2889803738000</v>
      </c>
      <c r="AG72" s="34">
        <v>11598181791879</v>
      </c>
      <c r="AH72" s="34">
        <v>640706515259</v>
      </c>
      <c r="AI72" s="34">
        <v>441929329807</v>
      </c>
      <c r="AJ72" s="34">
        <v>527660264460</v>
      </c>
      <c r="AK72" s="34">
        <v>1320565735071</v>
      </c>
      <c r="AL72" s="34">
        <v>5755973402282</v>
      </c>
      <c r="AM72" s="34">
        <v>8859009475274</v>
      </c>
      <c r="AN72" s="34">
        <v>5842208389597</v>
      </c>
      <c r="AO72" s="33">
        <v>0.16880000000000001</v>
      </c>
      <c r="AP72" s="34">
        <v>1582968735755</v>
      </c>
      <c r="AQ72" s="34">
        <v>-20502592580</v>
      </c>
      <c r="AR72" s="31">
        <v>336</v>
      </c>
      <c r="AS72" s="34">
        <v>3868</v>
      </c>
      <c r="AT72" s="34">
        <v>5710514270634</v>
      </c>
      <c r="AU72" s="31">
        <v>48</v>
      </c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</row>
    <row r="73" spans="1:61" ht="46.5" x14ac:dyDescent="0.35">
      <c r="A73" s="11">
        <v>15</v>
      </c>
      <c r="B73" s="11" t="s">
        <v>79</v>
      </c>
      <c r="C73" s="12" t="s">
        <v>80</v>
      </c>
      <c r="D73" s="11">
        <v>2020</v>
      </c>
      <c r="E73" s="11"/>
      <c r="F73" s="42" t="s">
        <v>52</v>
      </c>
      <c r="G73" s="42">
        <v>0</v>
      </c>
      <c r="H73" s="42">
        <v>0.28699999999999998</v>
      </c>
      <c r="I73" s="42">
        <v>0.129</v>
      </c>
      <c r="J73" s="16">
        <v>66968478</v>
      </c>
      <c r="K73" s="16">
        <v>1322932348593</v>
      </c>
      <c r="L73" s="16">
        <v>1322455489093</v>
      </c>
      <c r="M73" s="16">
        <v>3924850529198</v>
      </c>
      <c r="N73" s="16">
        <v>88894108168</v>
      </c>
      <c r="O73" s="16">
        <v>73055833430</v>
      </c>
      <c r="P73" s="16">
        <v>481559607</v>
      </c>
      <c r="Q73" s="16">
        <v>758891961099</v>
      </c>
      <c r="R73" s="16">
        <v>398359913939</v>
      </c>
      <c r="S73" s="16">
        <v>58168871285</v>
      </c>
      <c r="T73" s="16">
        <v>658847679324</v>
      </c>
      <c r="U73" s="11">
        <v>0</v>
      </c>
      <c r="V73" s="16">
        <v>381348629127</v>
      </c>
      <c r="W73" s="16">
        <v>881292946570</v>
      </c>
      <c r="X73" s="16" t="s">
        <v>52</v>
      </c>
      <c r="Y73" s="55" t="s">
        <v>95</v>
      </c>
      <c r="Z73" s="16">
        <v>0</v>
      </c>
      <c r="AA73" s="63" t="s">
        <v>95</v>
      </c>
      <c r="AB73" s="11">
        <v>0</v>
      </c>
      <c r="AC73" s="16">
        <v>327761852317</v>
      </c>
      <c r="AD73" s="16">
        <v>1583967443762</v>
      </c>
      <c r="AE73" s="70">
        <v>24420</v>
      </c>
      <c r="AF73" s="16">
        <v>1635370232760</v>
      </c>
      <c r="AG73" s="16">
        <v>2340883085436</v>
      </c>
      <c r="AH73" s="16">
        <v>457376396262</v>
      </c>
      <c r="AI73" s="16">
        <v>105651201712</v>
      </c>
      <c r="AJ73" s="16">
        <v>-170201896794</v>
      </c>
      <c r="AK73" s="16">
        <v>151556122436</v>
      </c>
      <c r="AL73" s="16">
        <v>938845851625</v>
      </c>
      <c r="AM73" s="16">
        <v>2382523920831</v>
      </c>
      <c r="AN73" s="16">
        <v>1402037233811</v>
      </c>
      <c r="AO73" s="29">
        <v>6.4000000000000003E-3</v>
      </c>
      <c r="AP73" s="16">
        <v>47840139559</v>
      </c>
      <c r="AQ73" s="11">
        <v>0</v>
      </c>
      <c r="AR73" s="16">
        <v>4379</v>
      </c>
      <c r="AS73" s="11">
        <v>359</v>
      </c>
      <c r="AT73" s="16">
        <v>80068752676</v>
      </c>
      <c r="AU73" s="11">
        <v>28</v>
      </c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</row>
    <row r="74" spans="1:61" ht="46.5" x14ac:dyDescent="0.35">
      <c r="A74" s="11">
        <v>15</v>
      </c>
      <c r="B74" s="11" t="s">
        <v>79</v>
      </c>
      <c r="C74" s="12" t="s">
        <v>80</v>
      </c>
      <c r="D74" s="11">
        <v>2021</v>
      </c>
      <c r="E74" s="11"/>
      <c r="F74" s="42" t="s">
        <v>52</v>
      </c>
      <c r="G74" s="42">
        <v>0</v>
      </c>
      <c r="H74" s="42">
        <v>0.28699999999999998</v>
      </c>
      <c r="I74" s="42">
        <v>0.129</v>
      </c>
      <c r="J74" s="16">
        <v>73259802</v>
      </c>
      <c r="K74" s="16">
        <v>884273309528</v>
      </c>
      <c r="L74" s="16">
        <v>884273309528</v>
      </c>
      <c r="M74" s="16">
        <v>3984854642787</v>
      </c>
      <c r="N74" s="16">
        <v>55048941507</v>
      </c>
      <c r="O74" s="16">
        <v>61720377587</v>
      </c>
      <c r="P74" s="16">
        <v>273994619</v>
      </c>
      <c r="Q74" s="16">
        <v>444642663867</v>
      </c>
      <c r="R74" s="16">
        <v>298348529417</v>
      </c>
      <c r="S74" s="16">
        <v>88843034547</v>
      </c>
      <c r="T74" s="16">
        <v>463330170605</v>
      </c>
      <c r="U74" s="11">
        <v>0</v>
      </c>
      <c r="V74" s="16">
        <v>237207167977</v>
      </c>
      <c r="W74" s="16">
        <v>588824743774</v>
      </c>
      <c r="X74" s="16" t="s">
        <v>52</v>
      </c>
      <c r="Y74" s="55" t="s">
        <v>95</v>
      </c>
      <c r="Z74" s="16">
        <v>0</v>
      </c>
      <c r="AA74" s="63" t="s">
        <v>95</v>
      </c>
      <c r="AB74" s="11">
        <v>0</v>
      </c>
      <c r="AC74" s="16">
        <v>252812782617</v>
      </c>
      <c r="AD74" s="16">
        <v>1787856413072</v>
      </c>
      <c r="AE74" s="70">
        <v>38360</v>
      </c>
      <c r="AF74" s="16">
        <v>2810246004720</v>
      </c>
      <c r="AG74" s="16">
        <v>2196998229715</v>
      </c>
      <c r="AH74" s="16">
        <v>44234060083</v>
      </c>
      <c r="AI74" s="16">
        <v>170069371140</v>
      </c>
      <c r="AJ74" s="16">
        <v>-172640696068</v>
      </c>
      <c r="AK74" s="16">
        <v>94189722384</v>
      </c>
      <c r="AL74" s="16">
        <v>965786951006</v>
      </c>
      <c r="AM74" s="16">
        <v>2100298588526</v>
      </c>
      <c r="AN74" s="16">
        <v>1231211278709</v>
      </c>
      <c r="AO74" s="29">
        <v>-0.33129999999999998</v>
      </c>
      <c r="AP74" s="16">
        <v>39114885484</v>
      </c>
      <c r="AQ74" s="11">
        <v>0</v>
      </c>
      <c r="AR74" s="16">
        <v>2920</v>
      </c>
      <c r="AS74" s="11">
        <v>331</v>
      </c>
      <c r="AT74" s="16">
        <v>66921470290</v>
      </c>
      <c r="AU74" s="11">
        <v>29</v>
      </c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</row>
    <row r="75" spans="1:61" ht="46.5" x14ac:dyDescent="0.35">
      <c r="A75" s="11">
        <v>15</v>
      </c>
      <c r="B75" s="11" t="s">
        <v>79</v>
      </c>
      <c r="C75" s="12" t="s">
        <v>80</v>
      </c>
      <c r="D75" s="11">
        <v>2022</v>
      </c>
      <c r="E75" s="11"/>
      <c r="F75" s="42" t="s">
        <v>52</v>
      </c>
      <c r="G75" s="42">
        <v>0</v>
      </c>
      <c r="H75" s="42">
        <v>0.31</v>
      </c>
      <c r="I75" s="42">
        <v>0.09</v>
      </c>
      <c r="J75" s="16">
        <v>76295802</v>
      </c>
      <c r="K75" s="16">
        <v>859149585991</v>
      </c>
      <c r="L75" s="16">
        <v>859106395991</v>
      </c>
      <c r="M75" s="16">
        <v>4242772246428</v>
      </c>
      <c r="N75" s="16">
        <v>40304753828</v>
      </c>
      <c r="O75" s="16">
        <v>52948621642</v>
      </c>
      <c r="P75" s="16">
        <v>85586963</v>
      </c>
      <c r="Q75" s="16">
        <v>430831490717</v>
      </c>
      <c r="R75" s="16">
        <v>180324316116</v>
      </c>
      <c r="S75" s="16">
        <v>143423777710</v>
      </c>
      <c r="T75" s="16">
        <v>531352527613</v>
      </c>
      <c r="U75" s="11">
        <v>0</v>
      </c>
      <c r="V75" s="16">
        <v>186240724076</v>
      </c>
      <c r="W75" s="16">
        <v>635363432535</v>
      </c>
      <c r="X75" s="16" t="s">
        <v>52</v>
      </c>
      <c r="Y75" s="55" t="s">
        <v>95</v>
      </c>
      <c r="Z75" s="16">
        <v>0</v>
      </c>
      <c r="AA75" s="63" t="s">
        <v>95</v>
      </c>
      <c r="AB75" s="11">
        <v>0</v>
      </c>
      <c r="AC75" s="16">
        <v>152083434886</v>
      </c>
      <c r="AD75" s="16">
        <v>1940861114810</v>
      </c>
      <c r="AE75" s="70">
        <v>15835</v>
      </c>
      <c r="AF75" s="16">
        <v>1208144024670</v>
      </c>
      <c r="AG75" s="16">
        <v>2301911131618</v>
      </c>
      <c r="AH75" s="16">
        <v>129849164559</v>
      </c>
      <c r="AI75" s="16">
        <v>506999664482</v>
      </c>
      <c r="AJ75" s="16">
        <v>-496408222217</v>
      </c>
      <c r="AK75" s="16">
        <v>122310178437</v>
      </c>
      <c r="AL75" s="16">
        <v>959944892586</v>
      </c>
      <c r="AM75" s="16">
        <v>2058952095072</v>
      </c>
      <c r="AN75" s="16">
        <v>1341966239032</v>
      </c>
      <c r="AO75" s="29">
        <v>-2.8400000000000002E-2</v>
      </c>
      <c r="AP75" s="16">
        <v>28357356032</v>
      </c>
      <c r="AQ75" s="11">
        <v>0</v>
      </c>
      <c r="AR75" s="16">
        <v>1717</v>
      </c>
      <c r="AS75" s="11">
        <v>310</v>
      </c>
      <c r="AT75" s="16">
        <v>84264509092</v>
      </c>
      <c r="AU75" s="11">
        <v>30</v>
      </c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</row>
    <row r="76" spans="1:61" ht="46.5" x14ac:dyDescent="0.35">
      <c r="A76" s="11">
        <v>15</v>
      </c>
      <c r="B76" s="11" t="s">
        <v>79</v>
      </c>
      <c r="C76" s="12" t="s">
        <v>80</v>
      </c>
      <c r="D76" s="11">
        <v>2023</v>
      </c>
      <c r="E76" s="11"/>
      <c r="F76" s="42" t="s">
        <v>52</v>
      </c>
      <c r="G76" s="42">
        <v>0</v>
      </c>
      <c r="H76" s="42">
        <v>0.31</v>
      </c>
      <c r="I76" s="42">
        <v>0.03</v>
      </c>
      <c r="J76" s="16">
        <v>76295802</v>
      </c>
      <c r="K76" s="16">
        <v>528626774295</v>
      </c>
      <c r="L76" s="16">
        <v>528624280295</v>
      </c>
      <c r="M76" s="16">
        <v>4276640408536</v>
      </c>
      <c r="N76" s="16">
        <v>12979768779</v>
      </c>
      <c r="O76" s="16">
        <v>50431304194</v>
      </c>
      <c r="P76" s="11">
        <v>0</v>
      </c>
      <c r="Q76" s="16">
        <v>198192973716</v>
      </c>
      <c r="R76" s="16">
        <v>104562954428</v>
      </c>
      <c r="S76" s="16">
        <v>110851739282</v>
      </c>
      <c r="T76" s="16">
        <v>289718246071</v>
      </c>
      <c r="U76" s="11">
        <v>0</v>
      </c>
      <c r="V76" s="16">
        <v>51950504475</v>
      </c>
      <c r="W76" s="16">
        <v>360743500991</v>
      </c>
      <c r="X76" s="16" t="s">
        <v>52</v>
      </c>
      <c r="Y76" s="55" t="s">
        <v>95</v>
      </c>
      <c r="Z76" s="16">
        <v>0</v>
      </c>
      <c r="AA76" s="63" t="s">
        <v>95</v>
      </c>
      <c r="AB76" s="11">
        <v>0</v>
      </c>
      <c r="AC76" s="16">
        <v>73765686756</v>
      </c>
      <c r="AD76" s="16">
        <v>1997736533052</v>
      </c>
      <c r="AE76" s="70">
        <v>22652</v>
      </c>
      <c r="AF76" s="16">
        <v>1728252506904</v>
      </c>
      <c r="AG76" s="16">
        <v>2278903875484</v>
      </c>
      <c r="AH76" s="16">
        <v>28989288407</v>
      </c>
      <c r="AI76" s="16">
        <v>217904249263</v>
      </c>
      <c r="AJ76" s="16">
        <v>-96717941166</v>
      </c>
      <c r="AK76" s="16">
        <v>103747605098</v>
      </c>
      <c r="AL76" s="16">
        <v>1010999341709</v>
      </c>
      <c r="AM76" s="16">
        <v>1984914732339</v>
      </c>
      <c r="AN76" s="16">
        <v>1267904533775</v>
      </c>
      <c r="AO76" s="29">
        <v>-0.38500000000000001</v>
      </c>
      <c r="AP76" s="16">
        <v>28547468767</v>
      </c>
      <c r="AQ76" s="11">
        <v>0</v>
      </c>
      <c r="AR76" s="11">
        <v>802</v>
      </c>
      <c r="AS76" s="11">
        <v>241</v>
      </c>
      <c r="AT76" s="16">
        <v>78618951479</v>
      </c>
      <c r="AU76" s="11">
        <v>31</v>
      </c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</row>
    <row r="77" spans="1:61" ht="46.5" x14ac:dyDescent="0.35">
      <c r="A77" s="11">
        <v>15</v>
      </c>
      <c r="B77" s="11" t="s">
        <v>79</v>
      </c>
      <c r="C77" s="12" t="s">
        <v>80</v>
      </c>
      <c r="D77" s="11">
        <v>2024</v>
      </c>
      <c r="E77" s="11"/>
      <c r="F77" s="42">
        <v>6.2199999999999998E-2</v>
      </c>
      <c r="G77" s="42">
        <v>0</v>
      </c>
      <c r="H77" s="42">
        <v>0.22600000000000001</v>
      </c>
      <c r="I77" s="42">
        <v>3.3000000000000002E-2</v>
      </c>
      <c r="J77" s="16">
        <v>114443703</v>
      </c>
      <c r="K77" s="16">
        <v>401275176502</v>
      </c>
      <c r="L77" s="16">
        <v>401275176502</v>
      </c>
      <c r="M77" s="16">
        <v>4927312656996</v>
      </c>
      <c r="N77" s="16">
        <v>14392764968</v>
      </c>
      <c r="O77" s="16">
        <v>56565636616</v>
      </c>
      <c r="P77" s="11">
        <v>0</v>
      </c>
      <c r="Q77" s="16">
        <v>131474371913</v>
      </c>
      <c r="R77" s="16">
        <v>121731081732</v>
      </c>
      <c r="S77" s="16">
        <v>92406553616</v>
      </c>
      <c r="T77" s="16">
        <v>216518454136</v>
      </c>
      <c r="U77" s="11">
        <v>0</v>
      </c>
      <c r="V77" s="16">
        <v>95067379644</v>
      </c>
      <c r="W77" s="16">
        <v>294557343015</v>
      </c>
      <c r="X77" s="16" t="s">
        <v>52</v>
      </c>
      <c r="Y77" s="55" t="s">
        <v>95</v>
      </c>
      <c r="Z77" s="16">
        <v>0</v>
      </c>
      <c r="AA77" s="61" t="s">
        <v>101</v>
      </c>
      <c r="AB77" s="11">
        <v>1</v>
      </c>
      <c r="AC77" s="16">
        <v>52962990927</v>
      </c>
      <c r="AD77" s="16">
        <v>2650788454530</v>
      </c>
      <c r="AE77" s="70">
        <v>18550</v>
      </c>
      <c r="AF77" s="16">
        <v>2122930690650</v>
      </c>
      <c r="AG77" s="16">
        <v>2276524202466</v>
      </c>
      <c r="AH77" s="16">
        <v>321893925712</v>
      </c>
      <c r="AI77" s="16">
        <v>303510405783</v>
      </c>
      <c r="AJ77" s="16">
        <v>-887254504041</v>
      </c>
      <c r="AK77" s="16">
        <v>15826811638</v>
      </c>
      <c r="AL77" s="16">
        <v>1208439960386</v>
      </c>
      <c r="AM77" s="16">
        <v>2013574626937</v>
      </c>
      <c r="AN77" s="16">
        <v>1068084242080</v>
      </c>
      <c r="AO77" s="29">
        <v>-0.24099999999999999</v>
      </c>
      <c r="AP77" s="16">
        <v>21466981472</v>
      </c>
      <c r="AQ77" s="11">
        <v>0</v>
      </c>
      <c r="AR77" s="11">
        <v>477</v>
      </c>
      <c r="AS77" s="11">
        <v>225</v>
      </c>
      <c r="AT77" s="16">
        <v>53933440767</v>
      </c>
      <c r="AU77" s="11">
        <v>32</v>
      </c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</row>
    <row r="78" spans="1:61" ht="46.5" x14ac:dyDescent="0.35">
      <c r="A78" s="31">
        <v>16</v>
      </c>
      <c r="B78" s="31" t="s">
        <v>81</v>
      </c>
      <c r="C78" s="32" t="s">
        <v>82</v>
      </c>
      <c r="D78" s="31">
        <v>2020</v>
      </c>
      <c r="E78" s="31"/>
      <c r="F78" s="43">
        <v>3.6799999999999999E-2</v>
      </c>
      <c r="G78" s="31" t="s">
        <v>52</v>
      </c>
      <c r="H78" s="43">
        <v>3.6499999999999998E-2</v>
      </c>
      <c r="I78" s="43">
        <v>2.75E-2</v>
      </c>
      <c r="J78" s="34">
        <v>32086864</v>
      </c>
      <c r="K78" s="34">
        <v>2100807686518</v>
      </c>
      <c r="L78" s="34">
        <v>1883771417605</v>
      </c>
      <c r="M78" s="34">
        <v>1839713382719</v>
      </c>
      <c r="N78" s="34">
        <v>-268375629385</v>
      </c>
      <c r="O78" s="34">
        <v>-38778388057</v>
      </c>
      <c r="P78" s="34">
        <v>55001732796</v>
      </c>
      <c r="Q78" s="34">
        <v>857263738546</v>
      </c>
      <c r="R78" s="34">
        <v>213689420322</v>
      </c>
      <c r="S78" s="34">
        <v>538514169612</v>
      </c>
      <c r="T78" s="34">
        <v>-1561605890113</v>
      </c>
      <c r="U78" s="34">
        <v>8571814944</v>
      </c>
      <c r="V78" s="34">
        <v>137850634411</v>
      </c>
      <c r="W78" s="34">
        <v>1657691662234</v>
      </c>
      <c r="X78" s="34" t="s">
        <v>52</v>
      </c>
      <c r="Y78" s="61" t="s">
        <v>100</v>
      </c>
      <c r="Z78" s="31">
        <v>1</v>
      </c>
      <c r="AA78" s="61" t="s">
        <v>101</v>
      </c>
      <c r="AB78" s="31">
        <v>1</v>
      </c>
      <c r="AC78" s="34">
        <v>163370547212</v>
      </c>
      <c r="AD78" s="34">
        <v>967789942229</v>
      </c>
      <c r="AE78" s="69">
        <v>26484</v>
      </c>
      <c r="AF78" s="31">
        <v>849788506176</v>
      </c>
      <c r="AG78" s="34">
        <v>871923440490</v>
      </c>
      <c r="AH78" s="34">
        <v>-100973396237</v>
      </c>
      <c r="AI78" s="34">
        <v>3594504221</v>
      </c>
      <c r="AJ78" s="34">
        <v>46676445630</v>
      </c>
      <c r="AK78" s="34">
        <v>329808777912</v>
      </c>
      <c r="AL78" s="34">
        <v>38670541051</v>
      </c>
      <c r="AM78" s="34">
        <v>1453000678609</v>
      </c>
      <c r="AN78" s="34">
        <v>833252899439</v>
      </c>
      <c r="AO78" s="33">
        <v>-0.08</v>
      </c>
      <c r="AP78" s="34">
        <v>709129429682</v>
      </c>
      <c r="AQ78" s="34">
        <v>-79201500250</v>
      </c>
      <c r="AR78" s="34">
        <v>4437</v>
      </c>
      <c r="AS78" s="34">
        <v>1268</v>
      </c>
      <c r="AT78" s="34">
        <v>117327312691</v>
      </c>
      <c r="AU78" s="34">
        <v>27</v>
      </c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</row>
    <row r="79" spans="1:61" ht="46.5" x14ac:dyDescent="0.35">
      <c r="A79" s="31">
        <v>16</v>
      </c>
      <c r="B79" s="31" t="s">
        <v>81</v>
      </c>
      <c r="C79" s="32" t="s">
        <v>82</v>
      </c>
      <c r="D79" s="31">
        <v>2021</v>
      </c>
      <c r="E79" s="31"/>
      <c r="F79" s="43">
        <v>3.3000000000000002E-2</v>
      </c>
      <c r="G79" s="31" t="s">
        <v>52</v>
      </c>
      <c r="H79" s="43">
        <v>3.6299999999999999E-2</v>
      </c>
      <c r="I79" s="43">
        <v>2.6100000000000002E-2</v>
      </c>
      <c r="J79" s="34">
        <v>32086864</v>
      </c>
      <c r="K79" s="34">
        <v>2224437842861</v>
      </c>
      <c r="L79" s="34">
        <v>2076105673412</v>
      </c>
      <c r="M79" s="34">
        <v>1899745184773</v>
      </c>
      <c r="N79" s="34">
        <v>-272368161162</v>
      </c>
      <c r="O79" s="34">
        <v>-38700263685</v>
      </c>
      <c r="P79" s="34">
        <v>53586203002</v>
      </c>
      <c r="Q79" s="34">
        <v>965582951672</v>
      </c>
      <c r="R79" s="34">
        <v>203580029954</v>
      </c>
      <c r="S79" s="34">
        <v>633663998846</v>
      </c>
      <c r="T79" s="34">
        <v>-1671799007602</v>
      </c>
      <c r="U79" s="34">
        <v>11209425621</v>
      </c>
      <c r="V79" s="34">
        <v>219588953187</v>
      </c>
      <c r="W79" s="34">
        <v>1874393492955</v>
      </c>
      <c r="X79" s="34" t="s">
        <v>52</v>
      </c>
      <c r="Y79" s="61" t="s">
        <v>100</v>
      </c>
      <c r="Z79" s="31">
        <v>1</v>
      </c>
      <c r="AA79" s="61" t="s">
        <v>101</v>
      </c>
      <c r="AB79" s="31">
        <v>1</v>
      </c>
      <c r="AC79" s="34">
        <v>165051187390</v>
      </c>
      <c r="AD79" s="34">
        <v>1018947833993</v>
      </c>
      <c r="AE79" s="69">
        <v>31842</v>
      </c>
      <c r="AF79" s="31">
        <v>1021709923488</v>
      </c>
      <c r="AG79" s="34">
        <v>880797350780</v>
      </c>
      <c r="AH79" s="34">
        <v>776998925418</v>
      </c>
      <c r="AI79" s="34">
        <v>1879704128</v>
      </c>
      <c r="AJ79" s="34">
        <v>10883528349</v>
      </c>
      <c r="AK79" s="34">
        <v>692146001851</v>
      </c>
      <c r="AL79" s="34">
        <v>36438021051</v>
      </c>
      <c r="AM79" s="34">
        <v>1520309833588</v>
      </c>
      <c r="AN79" s="34">
        <v>44070336995</v>
      </c>
      <c r="AO79" s="33">
        <v>5.8848869002336796E-2</v>
      </c>
      <c r="AP79" s="34">
        <v>605202380985</v>
      </c>
      <c r="AQ79" s="34">
        <v>-95091163850</v>
      </c>
      <c r="AR79" s="34">
        <v>4224</v>
      </c>
      <c r="AS79" s="31">
        <v>1269</v>
      </c>
      <c r="AT79" s="34">
        <v>107775233019</v>
      </c>
      <c r="AU79" s="31">
        <v>28</v>
      </c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</row>
    <row r="80" spans="1:61" ht="46.5" x14ac:dyDescent="0.35">
      <c r="A80" s="31">
        <v>16</v>
      </c>
      <c r="B80" s="31" t="s">
        <v>81</v>
      </c>
      <c r="C80" s="32" t="s">
        <v>82</v>
      </c>
      <c r="D80" s="31">
        <v>2022</v>
      </c>
      <c r="E80" s="31"/>
      <c r="F80" s="43">
        <v>3.7499999999999999E-2</v>
      </c>
      <c r="G80" s="31" t="s">
        <v>52</v>
      </c>
      <c r="H80" s="43">
        <v>0.54879999999999995</v>
      </c>
      <c r="I80" s="43">
        <v>2.6599999999999999E-2</v>
      </c>
      <c r="J80" s="34">
        <v>41712614</v>
      </c>
      <c r="K80" s="34">
        <v>3250924265573</v>
      </c>
      <c r="L80" s="34">
        <v>2976781079922</v>
      </c>
      <c r="M80" s="34">
        <v>2756470776119</v>
      </c>
      <c r="N80" s="34">
        <v>-388581305582</v>
      </c>
      <c r="O80" s="34">
        <v>-54535187552</v>
      </c>
      <c r="P80" s="34">
        <v>56354093757</v>
      </c>
      <c r="Q80" s="34">
        <v>1130944522081</v>
      </c>
      <c r="R80" s="34">
        <v>285674035358</v>
      </c>
      <c r="S80" s="34">
        <v>1206059261601</v>
      </c>
      <c r="T80" s="34">
        <v>-1821612228615</v>
      </c>
      <c r="U80" s="34">
        <v>9082598620</v>
      </c>
      <c r="V80" s="34">
        <v>297991122207</v>
      </c>
      <c r="W80" s="34">
        <v>2729880614439</v>
      </c>
      <c r="X80" s="34" t="s">
        <v>52</v>
      </c>
      <c r="Y80" s="61" t="s">
        <v>100</v>
      </c>
      <c r="Z80" s="31">
        <v>1</v>
      </c>
      <c r="AA80" s="61" t="s">
        <v>101</v>
      </c>
      <c r="AB80" s="31">
        <v>1</v>
      </c>
      <c r="AC80" s="34">
        <v>229164235398</v>
      </c>
      <c r="AD80" s="34">
        <v>1139296722199</v>
      </c>
      <c r="AE80" s="69">
        <v>28280</v>
      </c>
      <c r="AF80" s="31">
        <v>1179632723920</v>
      </c>
      <c r="AG80" s="34">
        <v>1617174053920</v>
      </c>
      <c r="AH80" s="34">
        <v>-83005654272</v>
      </c>
      <c r="AI80" s="34">
        <v>13261878101</v>
      </c>
      <c r="AJ80" s="34">
        <v>-503850886754</v>
      </c>
      <c r="AK80" s="34">
        <v>208420873572</v>
      </c>
      <c r="AL80" s="34">
        <v>2311062676</v>
      </c>
      <c r="AM80" s="34">
        <v>2387283735919</v>
      </c>
      <c r="AN80" s="34">
        <v>1614362991244</v>
      </c>
      <c r="AO80" s="33">
        <v>0.46145880227957564</v>
      </c>
      <c r="AP80" s="34">
        <v>1050249601987</v>
      </c>
      <c r="AQ80" s="34">
        <v>-79277280000</v>
      </c>
      <c r="AR80" s="34">
        <v>4805</v>
      </c>
      <c r="AS80" s="31">
        <v>1394</v>
      </c>
      <c r="AT80" s="34">
        <v>105202196451</v>
      </c>
      <c r="AU80" s="31">
        <v>29</v>
      </c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</row>
    <row r="81" spans="1:61" ht="46.5" x14ac:dyDescent="0.35">
      <c r="A81" s="31">
        <v>16</v>
      </c>
      <c r="B81" s="31" t="s">
        <v>81</v>
      </c>
      <c r="C81" s="32" t="s">
        <v>82</v>
      </c>
      <c r="D81" s="31">
        <v>2023</v>
      </c>
      <c r="E81" s="31"/>
      <c r="F81" s="43">
        <v>3.7999999999999999E-2</v>
      </c>
      <c r="G81" s="31" t="s">
        <v>52</v>
      </c>
      <c r="H81" s="43">
        <v>0.55000000000000004</v>
      </c>
      <c r="I81" s="43">
        <v>2.7400000000000001E-2</v>
      </c>
      <c r="J81" s="34">
        <v>41712614</v>
      </c>
      <c r="K81" s="34">
        <v>3557307559071</v>
      </c>
      <c r="L81" s="34">
        <v>3262419854557</v>
      </c>
      <c r="M81" s="34">
        <v>2945607648935</v>
      </c>
      <c r="N81" s="34">
        <v>353026887379</v>
      </c>
      <c r="O81" s="34">
        <v>81595742730</v>
      </c>
      <c r="P81" s="34">
        <v>54652817494</v>
      </c>
      <c r="Q81" s="34">
        <v>1870828300648</v>
      </c>
      <c r="R81" s="34">
        <v>376927313184</v>
      </c>
      <c r="S81" s="34">
        <v>629357133289</v>
      </c>
      <c r="T81" s="34">
        <v>-2471198374666</v>
      </c>
      <c r="U81" s="34">
        <v>8258347317</v>
      </c>
      <c r="V81" s="34">
        <v>190189286681</v>
      </c>
      <c r="W81" s="34">
        <v>2947065098049</v>
      </c>
      <c r="X81" s="34" t="s">
        <v>52</v>
      </c>
      <c r="Y81" s="61" t="s">
        <v>100</v>
      </c>
      <c r="Z81" s="31">
        <v>1</v>
      </c>
      <c r="AA81" s="61" t="s">
        <v>101</v>
      </c>
      <c r="AB81" s="31">
        <v>1</v>
      </c>
      <c r="AC81" s="34">
        <v>295577433645</v>
      </c>
      <c r="AD81" s="34">
        <v>1245627587805</v>
      </c>
      <c r="AE81" s="69">
        <v>31938</v>
      </c>
      <c r="AF81" s="31">
        <v>1332217465932</v>
      </c>
      <c r="AG81" s="34">
        <v>1699980061130</v>
      </c>
      <c r="AH81" s="34">
        <v>-7314666610</v>
      </c>
      <c r="AI81" s="34">
        <v>15109027506</v>
      </c>
      <c r="AJ81" s="34">
        <v>-118319689638</v>
      </c>
      <c r="AK81" s="34">
        <v>129881543766</v>
      </c>
      <c r="AL81" s="34">
        <v>1993449076</v>
      </c>
      <c r="AM81" s="34">
        <v>2572762883973</v>
      </c>
      <c r="AN81" s="34">
        <v>1697986612054</v>
      </c>
      <c r="AO81" s="33">
        <v>9.4244980340690163E-2</v>
      </c>
      <c r="AP81" s="34">
        <v>1062519677715</v>
      </c>
      <c r="AQ81" s="34">
        <v>-144234793500</v>
      </c>
      <c r="AR81" s="34">
        <v>6124</v>
      </c>
      <c r="AS81" s="34">
        <v>1390</v>
      </c>
      <c r="AT81" s="34">
        <v>98583969763</v>
      </c>
      <c r="AU81" s="34">
        <v>30</v>
      </c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</row>
    <row r="82" spans="1:61" ht="46.5" x14ac:dyDescent="0.35">
      <c r="A82" s="31">
        <v>16</v>
      </c>
      <c r="B82" s="31" t="s">
        <v>81</v>
      </c>
      <c r="C82" s="32" t="s">
        <v>82</v>
      </c>
      <c r="D82" s="31">
        <v>2024</v>
      </c>
      <c r="E82" s="31"/>
      <c r="F82" s="43">
        <v>3.7199999999999997E-2</v>
      </c>
      <c r="G82" s="31" t="s">
        <v>52</v>
      </c>
      <c r="H82" s="43">
        <v>0.54930000000000001</v>
      </c>
      <c r="I82" s="43">
        <v>2.3699999999999999E-2</v>
      </c>
      <c r="J82" s="34">
        <v>41712614</v>
      </c>
      <c r="K82" s="34">
        <v>3807316034483</v>
      </c>
      <c r="L82" s="34">
        <v>3497261422831</v>
      </c>
      <c r="M82" s="34">
        <v>2495777592059</v>
      </c>
      <c r="N82" s="34">
        <v>439033274534</v>
      </c>
      <c r="O82" s="34">
        <v>91177951491</v>
      </c>
      <c r="P82" s="34">
        <v>53644494712</v>
      </c>
      <c r="Q82" s="34">
        <v>184296574654</v>
      </c>
      <c r="R82" s="34">
        <v>568426380706</v>
      </c>
      <c r="S82" s="34">
        <v>737065340545</v>
      </c>
      <c r="T82" s="34">
        <v>2471861435128</v>
      </c>
      <c r="U82" s="34">
        <v>7853966955</v>
      </c>
      <c r="V82" s="34">
        <v>47443200282</v>
      </c>
      <c r="W82" s="34">
        <v>1416956198262</v>
      </c>
      <c r="X82" s="34" t="s">
        <v>52</v>
      </c>
      <c r="Y82" s="61" t="s">
        <v>100</v>
      </c>
      <c r="Z82" s="31">
        <v>1</v>
      </c>
      <c r="AA82" s="61" t="s">
        <v>101</v>
      </c>
      <c r="AB82" s="31">
        <v>1</v>
      </c>
      <c r="AC82" s="34">
        <v>471270606233</v>
      </c>
      <c r="AD82" s="34">
        <v>1605876352574</v>
      </c>
      <c r="AE82" s="69">
        <v>75429</v>
      </c>
      <c r="AF82" s="31">
        <v>3146340761406</v>
      </c>
      <c r="AG82" s="34">
        <v>889901239485</v>
      </c>
      <c r="AH82" s="34">
        <v>150837498043</v>
      </c>
      <c r="AI82" s="34">
        <v>15001682246</v>
      </c>
      <c r="AJ82" s="34">
        <v>896502047282</v>
      </c>
      <c r="AK82" s="34">
        <v>800792811413</v>
      </c>
      <c r="AL82" s="34">
        <v>16297060756</v>
      </c>
      <c r="AM82" s="34">
        <v>2206932220207</v>
      </c>
      <c r="AN82" s="34">
        <v>873604178729</v>
      </c>
      <c r="AO82" s="33">
        <v>7.0280253045449451E-2</v>
      </c>
      <c r="AP82" s="34">
        <v>945932893417</v>
      </c>
      <c r="AQ82" s="34">
        <v>-175093830955</v>
      </c>
      <c r="AR82" s="34">
        <v>10143</v>
      </c>
      <c r="AS82" s="34">
        <v>1433</v>
      </c>
      <c r="AT82" s="34">
        <v>196548152050</v>
      </c>
      <c r="AU82" s="34">
        <v>31</v>
      </c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</row>
    <row r="83" spans="1:61" ht="33" x14ac:dyDescent="0.35">
      <c r="A83" s="11">
        <v>17</v>
      </c>
      <c r="B83" s="11" t="s">
        <v>83</v>
      </c>
      <c r="C83" s="12" t="s">
        <v>84</v>
      </c>
      <c r="D83" s="11">
        <v>2020</v>
      </c>
      <c r="E83" s="11"/>
      <c r="F83" s="45">
        <v>8.4000000000000003E-4</v>
      </c>
      <c r="G83" s="45">
        <v>0.47689999999999999</v>
      </c>
      <c r="H83" s="45" t="s">
        <v>52</v>
      </c>
      <c r="I83" s="45">
        <v>7.2700000000000001E-2</v>
      </c>
      <c r="J83" s="17">
        <v>34000000</v>
      </c>
      <c r="K83" s="17">
        <v>386239280462</v>
      </c>
      <c r="L83" s="17">
        <v>386239280462</v>
      </c>
      <c r="M83" s="17">
        <v>705655668545</v>
      </c>
      <c r="N83" s="17">
        <v>665529748</v>
      </c>
      <c r="O83" s="17">
        <v>21130719528</v>
      </c>
      <c r="P83" s="17">
        <v>81396199349</v>
      </c>
      <c r="Q83" s="17">
        <v>223804427702</v>
      </c>
      <c r="R83" s="17">
        <v>114516073944</v>
      </c>
      <c r="S83" s="17">
        <v>24449407789</v>
      </c>
      <c r="T83" s="17">
        <v>264645898313</v>
      </c>
      <c r="U83" s="19" t="s">
        <v>52</v>
      </c>
      <c r="V83" s="17">
        <v>157771080503</v>
      </c>
      <c r="W83" s="17">
        <v>283355301193</v>
      </c>
      <c r="X83" s="19" t="s">
        <v>52</v>
      </c>
      <c r="Y83" s="55" t="s">
        <v>95</v>
      </c>
      <c r="Z83" s="19">
        <v>0</v>
      </c>
      <c r="AA83" s="61" t="s">
        <v>101</v>
      </c>
      <c r="AB83" s="19">
        <v>1</v>
      </c>
      <c r="AC83" s="17">
        <v>98534565046</v>
      </c>
      <c r="AD83" s="17">
        <v>647099064005</v>
      </c>
      <c r="AE83" s="73">
        <v>21328</v>
      </c>
      <c r="AF83" s="17">
        <v>725152000000</v>
      </c>
      <c r="AG83" s="17">
        <v>58556604540</v>
      </c>
      <c r="AH83" s="17">
        <v>156664616504</v>
      </c>
      <c r="AI83" s="17">
        <v>7603767081</v>
      </c>
      <c r="AJ83" s="17">
        <v>56390567210</v>
      </c>
      <c r="AK83" s="17">
        <v>174579078394</v>
      </c>
      <c r="AL83" s="17">
        <v>1335051972</v>
      </c>
      <c r="AM83" s="17">
        <v>297069184444</v>
      </c>
      <c r="AN83" s="17">
        <v>57221552568</v>
      </c>
      <c r="AO83" s="45">
        <v>0.10290000000000001</v>
      </c>
      <c r="AP83" s="17">
        <v>1071137444</v>
      </c>
      <c r="AQ83" s="17">
        <v>-75812621200</v>
      </c>
      <c r="AR83" s="17">
        <v>2674</v>
      </c>
      <c r="AS83" s="19">
        <v>38</v>
      </c>
      <c r="AT83" s="17">
        <v>225294237087</v>
      </c>
      <c r="AU83" s="19">
        <v>13</v>
      </c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</row>
    <row r="84" spans="1:61" ht="31" x14ac:dyDescent="0.35">
      <c r="A84" s="11">
        <v>17</v>
      </c>
      <c r="B84" s="11" t="s">
        <v>83</v>
      </c>
      <c r="C84" s="12" t="s">
        <v>84</v>
      </c>
      <c r="D84" s="11">
        <v>2021</v>
      </c>
      <c r="E84" s="11"/>
      <c r="F84" s="45">
        <v>8.4000000000000003E-4</v>
      </c>
      <c r="G84" s="45">
        <v>0.47689999999999999</v>
      </c>
      <c r="H84" s="45" t="s">
        <v>52</v>
      </c>
      <c r="I84" s="45">
        <v>7.2499999999999995E-2</v>
      </c>
      <c r="J84" s="17">
        <v>34000000</v>
      </c>
      <c r="K84" s="17">
        <v>264280885731</v>
      </c>
      <c r="L84" s="17">
        <v>264280885731</v>
      </c>
      <c r="M84" s="17">
        <v>640142678371</v>
      </c>
      <c r="N84" s="17">
        <v>103881001</v>
      </c>
      <c r="O84" s="48">
        <v>15148402108</v>
      </c>
      <c r="P84" s="17">
        <v>79737201260</v>
      </c>
      <c r="Q84" s="17">
        <v>132297565971</v>
      </c>
      <c r="R84" s="17">
        <v>102144757909</v>
      </c>
      <c r="S84" s="17">
        <v>17642629451</v>
      </c>
      <c r="T84" s="17">
        <v>90155046355</v>
      </c>
      <c r="U84" s="19" t="s">
        <v>52</v>
      </c>
      <c r="V84" s="17">
        <v>63108974952</v>
      </c>
      <c r="W84" s="17">
        <v>176973584835</v>
      </c>
      <c r="X84" s="19" t="s">
        <v>52</v>
      </c>
      <c r="Y84" s="55" t="s">
        <v>95</v>
      </c>
      <c r="Z84" s="19">
        <v>0</v>
      </c>
      <c r="AA84" s="61" t="s">
        <v>95</v>
      </c>
      <c r="AB84" s="19">
        <v>0</v>
      </c>
      <c r="AC84" s="17">
        <v>88550967433</v>
      </c>
      <c r="AD84" s="17">
        <v>625411779689</v>
      </c>
      <c r="AE84" s="73">
        <v>24431</v>
      </c>
      <c r="AF84" s="17">
        <v>830654000000</v>
      </c>
      <c r="AG84" s="17">
        <v>14730898682</v>
      </c>
      <c r="AH84" s="17">
        <v>103428944860</v>
      </c>
      <c r="AI84" s="17">
        <v>5655596558</v>
      </c>
      <c r="AJ84" s="17">
        <v>20587253093</v>
      </c>
      <c r="AK84" s="17">
        <v>218756362058</v>
      </c>
      <c r="AL84" s="19">
        <v>0</v>
      </c>
      <c r="AM84" s="17">
        <v>340542941305</v>
      </c>
      <c r="AN84" s="17">
        <v>14730898682</v>
      </c>
      <c r="AO84" s="45">
        <v>-0.31580000000000003</v>
      </c>
      <c r="AP84" s="17">
        <v>2367582000</v>
      </c>
      <c r="AQ84" s="17">
        <v>-74448917300</v>
      </c>
      <c r="AR84" s="17">
        <v>2401</v>
      </c>
      <c r="AS84" s="19">
        <v>37</v>
      </c>
      <c r="AT84" s="17">
        <v>119252067464</v>
      </c>
      <c r="AU84" s="19">
        <v>14</v>
      </c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</row>
    <row r="85" spans="1:61" ht="31" x14ac:dyDescent="0.35">
      <c r="A85" s="11">
        <v>17</v>
      </c>
      <c r="B85" s="11" t="s">
        <v>83</v>
      </c>
      <c r="C85" s="12" t="s">
        <v>84</v>
      </c>
      <c r="D85" s="11">
        <v>2022</v>
      </c>
      <c r="E85" s="11"/>
      <c r="F85" s="45">
        <v>8.4000000000000003E-4</v>
      </c>
      <c r="G85" s="45">
        <v>0.47689999999999999</v>
      </c>
      <c r="H85" s="45" t="s">
        <v>52</v>
      </c>
      <c r="I85" s="45">
        <v>6.9099999999999995E-2</v>
      </c>
      <c r="J85" s="17">
        <v>34000000</v>
      </c>
      <c r="K85" s="17">
        <v>263727304688</v>
      </c>
      <c r="L85" s="17">
        <v>263727304688</v>
      </c>
      <c r="M85" s="17">
        <v>703998424827</v>
      </c>
      <c r="N85" s="17">
        <v>3450859328</v>
      </c>
      <c r="O85" s="17">
        <v>23556431798</v>
      </c>
      <c r="P85" s="17">
        <v>78166436494</v>
      </c>
      <c r="Q85" s="17">
        <v>117452953249</v>
      </c>
      <c r="R85" s="17">
        <v>109930820864</v>
      </c>
      <c r="S85" s="17">
        <v>20944761838</v>
      </c>
      <c r="T85" s="17">
        <v>69942539578</v>
      </c>
      <c r="U85" s="19" t="s">
        <v>52</v>
      </c>
      <c r="V85" s="17">
        <v>59972618240</v>
      </c>
      <c r="W85" s="17">
        <v>165509530037</v>
      </c>
      <c r="X85" s="19" t="s">
        <v>52</v>
      </c>
      <c r="Y85" s="55" t="s">
        <v>95</v>
      </c>
      <c r="Z85" s="19">
        <v>0</v>
      </c>
      <c r="AA85" s="61" t="s">
        <v>95</v>
      </c>
      <c r="AB85" s="19">
        <v>0</v>
      </c>
      <c r="AC85" s="17">
        <v>90631796057</v>
      </c>
      <c r="AD85" s="17">
        <v>650374737780</v>
      </c>
      <c r="AE85" s="73">
        <v>19915</v>
      </c>
      <c r="AF85" s="17">
        <v>677110000000</v>
      </c>
      <c r="AG85" s="17">
        <v>53623687047</v>
      </c>
      <c r="AH85" s="17">
        <v>120483581658</v>
      </c>
      <c r="AI85" s="17">
        <v>13641983521</v>
      </c>
      <c r="AJ85" s="17">
        <v>-30466621772</v>
      </c>
      <c r="AK85" s="17">
        <v>221034411588</v>
      </c>
      <c r="AL85" s="19">
        <v>0</v>
      </c>
      <c r="AM85" s="17">
        <v>355357778109</v>
      </c>
      <c r="AN85" s="17">
        <v>53623687047</v>
      </c>
      <c r="AO85" s="45">
        <v>-2.0999999999999999E-3</v>
      </c>
      <c r="AP85" s="17">
        <v>1082804000</v>
      </c>
      <c r="AQ85" s="17">
        <v>-80748972200</v>
      </c>
      <c r="AR85" s="17">
        <v>2532</v>
      </c>
      <c r="AS85" s="19">
        <v>39</v>
      </c>
      <c r="AT85" s="48">
        <v>153356358114</v>
      </c>
      <c r="AU85" s="19">
        <v>15</v>
      </c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</row>
    <row r="86" spans="1:61" ht="33" x14ac:dyDescent="0.35">
      <c r="A86" s="11">
        <v>17</v>
      </c>
      <c r="B86" s="11" t="s">
        <v>83</v>
      </c>
      <c r="C86" s="12" t="s">
        <v>84</v>
      </c>
      <c r="D86" s="11">
        <v>2023</v>
      </c>
      <c r="E86" s="11"/>
      <c r="F86" s="45">
        <v>1.0300000000000001E-3</v>
      </c>
      <c r="G86" s="45">
        <v>0.47689999999999999</v>
      </c>
      <c r="H86" s="45" t="s">
        <v>52</v>
      </c>
      <c r="I86" s="45">
        <v>0.1018</v>
      </c>
      <c r="J86" s="17">
        <v>34000000</v>
      </c>
      <c r="K86" s="17">
        <v>306291069080</v>
      </c>
      <c r="L86" s="17">
        <v>306291069080</v>
      </c>
      <c r="M86" s="17">
        <v>612867501021</v>
      </c>
      <c r="N86" s="17">
        <v>1750327065</v>
      </c>
      <c r="O86" s="17">
        <v>20643056627</v>
      </c>
      <c r="P86" s="17">
        <v>76567905092</v>
      </c>
      <c r="Q86" s="17">
        <v>149731620177</v>
      </c>
      <c r="R86" s="17">
        <v>115589281912</v>
      </c>
      <c r="S86" s="17">
        <v>22971262446</v>
      </c>
      <c r="T86" s="17">
        <v>66134901620</v>
      </c>
      <c r="U86" s="19" t="s">
        <v>52</v>
      </c>
      <c r="V86" s="17">
        <v>98343872907</v>
      </c>
      <c r="W86" s="17">
        <v>202717158239</v>
      </c>
      <c r="X86" s="19" t="s">
        <v>52</v>
      </c>
      <c r="Y86" s="55" t="s">
        <v>95</v>
      </c>
      <c r="Z86" s="19">
        <v>0</v>
      </c>
      <c r="AA86" s="61" t="s">
        <v>101</v>
      </c>
      <c r="AB86" s="19">
        <v>1</v>
      </c>
      <c r="AC86" s="17">
        <v>93406910813</v>
      </c>
      <c r="AD86" s="17">
        <v>590892928199</v>
      </c>
      <c r="AE86" s="73">
        <v>32128</v>
      </c>
      <c r="AF86" s="17">
        <v>1092352000000</v>
      </c>
      <c r="AG86" s="17">
        <v>21974572822</v>
      </c>
      <c r="AH86" s="17">
        <v>116330169249</v>
      </c>
      <c r="AI86" s="17">
        <v>4631165800</v>
      </c>
      <c r="AJ86" s="17">
        <v>146255601336</v>
      </c>
      <c r="AK86" s="17">
        <v>228171368733</v>
      </c>
      <c r="AL86" s="19">
        <v>0</v>
      </c>
      <c r="AM86" s="17">
        <v>340058873826</v>
      </c>
      <c r="AN86" s="17">
        <v>21974572822</v>
      </c>
      <c r="AO86" s="45">
        <v>0.16139999999999999</v>
      </c>
      <c r="AP86" s="17">
        <v>5185890519</v>
      </c>
      <c r="AQ86" s="17">
        <v>-123818772240</v>
      </c>
      <c r="AR86" s="17">
        <v>2711</v>
      </c>
      <c r="AS86" s="19">
        <v>39</v>
      </c>
      <c r="AT86" s="17">
        <v>94482327950</v>
      </c>
      <c r="AU86" s="19">
        <v>16</v>
      </c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</row>
    <row r="87" spans="1:61" ht="33" x14ac:dyDescent="0.35">
      <c r="A87" s="11">
        <v>17</v>
      </c>
      <c r="B87" s="11" t="s">
        <v>83</v>
      </c>
      <c r="C87" s="12" t="s">
        <v>84</v>
      </c>
      <c r="D87" s="11">
        <v>2024</v>
      </c>
      <c r="E87" s="11"/>
      <c r="F87" s="45">
        <v>1.7866E-2</v>
      </c>
      <c r="G87" s="45">
        <v>0.47689999999999999</v>
      </c>
      <c r="H87" s="45" t="s">
        <v>52</v>
      </c>
      <c r="I87" s="45">
        <v>0.10589999999999999</v>
      </c>
      <c r="J87" s="17">
        <v>34000000</v>
      </c>
      <c r="K87" s="17">
        <v>322588699271</v>
      </c>
      <c r="L87" s="17">
        <v>322588699271</v>
      </c>
      <c r="M87" s="17">
        <v>618211320921</v>
      </c>
      <c r="N87" s="17">
        <v>1108620560</v>
      </c>
      <c r="O87" s="17">
        <v>27997315982</v>
      </c>
      <c r="P87" s="17">
        <v>74983257008</v>
      </c>
      <c r="Q87" s="17">
        <v>163222642121</v>
      </c>
      <c r="R87" s="17">
        <v>119593968162</v>
      </c>
      <c r="S87" s="17">
        <v>21558593596</v>
      </c>
      <c r="T87" s="17">
        <v>58483439336</v>
      </c>
      <c r="U87" s="17">
        <v>1323457756</v>
      </c>
      <c r="V87" s="17">
        <v>114957131134</v>
      </c>
      <c r="W87" s="17">
        <v>215693906314</v>
      </c>
      <c r="X87" s="19" t="s">
        <v>52</v>
      </c>
      <c r="Y87" s="55" t="s">
        <v>95</v>
      </c>
      <c r="Z87" s="19">
        <v>0</v>
      </c>
      <c r="AA87" s="61" t="s">
        <v>101</v>
      </c>
      <c r="AB87" s="19">
        <v>1</v>
      </c>
      <c r="AC87" s="17">
        <v>95924290680</v>
      </c>
      <c r="AD87" s="17">
        <v>593271622182</v>
      </c>
      <c r="AE87" s="73">
        <v>33168</v>
      </c>
      <c r="AF87" s="17">
        <v>1127712000000</v>
      </c>
      <c r="AG87" s="17">
        <v>24939698739</v>
      </c>
      <c r="AH87" s="17">
        <v>51555885602</v>
      </c>
      <c r="AI87" s="17">
        <v>13050095238</v>
      </c>
      <c r="AJ87" s="17">
        <v>-100188851575</v>
      </c>
      <c r="AK87" s="17">
        <v>91729692660</v>
      </c>
      <c r="AL87" s="19">
        <v>0</v>
      </c>
      <c r="AM87" s="17">
        <v>350811169163</v>
      </c>
      <c r="AN87" s="17">
        <v>24939698739</v>
      </c>
      <c r="AO87" s="45">
        <v>5.3199999999999997E-2</v>
      </c>
      <c r="AP87" s="17">
        <v>5530675211</v>
      </c>
      <c r="AQ87" s="17">
        <v>-87808710100</v>
      </c>
      <c r="AR87" s="17">
        <v>2723</v>
      </c>
      <c r="AS87" s="19">
        <v>39</v>
      </c>
      <c r="AT87" s="17">
        <v>77965663989</v>
      </c>
      <c r="AU87" s="19">
        <v>17</v>
      </c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</row>
    <row r="88" spans="1:61" ht="33" x14ac:dyDescent="0.35">
      <c r="A88" s="31">
        <v>18</v>
      </c>
      <c r="B88" s="31" t="s">
        <v>85</v>
      </c>
      <c r="C88" s="32" t="s">
        <v>86</v>
      </c>
      <c r="D88" s="31">
        <v>2020</v>
      </c>
      <c r="E88" s="31"/>
      <c r="F88" s="43">
        <v>2.3699999999999999E-4</v>
      </c>
      <c r="G88" s="43">
        <v>0.55810000000000004</v>
      </c>
      <c r="H88" s="43">
        <v>1.15E-2</v>
      </c>
      <c r="I88" s="43">
        <v>0.1169</v>
      </c>
      <c r="J88" s="34">
        <v>40124790</v>
      </c>
      <c r="K88" s="34">
        <v>1138040948029</v>
      </c>
      <c r="L88" s="34">
        <v>1137598059314</v>
      </c>
      <c r="M88" s="34">
        <v>3775415293753</v>
      </c>
      <c r="N88" s="34">
        <v>19322999825</v>
      </c>
      <c r="O88" s="34">
        <v>91544569309</v>
      </c>
      <c r="P88" s="34">
        <v>1395293637</v>
      </c>
      <c r="Q88" s="34">
        <v>262735188146</v>
      </c>
      <c r="R88" s="34">
        <v>258396770529</v>
      </c>
      <c r="S88" s="34">
        <v>315068533985</v>
      </c>
      <c r="T88" s="34">
        <v>850541573309</v>
      </c>
      <c r="U88" s="34">
        <v>38858982087</v>
      </c>
      <c r="V88" s="34">
        <v>31942518539</v>
      </c>
      <c r="W88" s="34">
        <v>964263861996</v>
      </c>
      <c r="X88" s="31" t="s">
        <v>52</v>
      </c>
      <c r="Y88" s="61" t="s">
        <v>100</v>
      </c>
      <c r="Z88" s="31">
        <v>1</v>
      </c>
      <c r="AA88" s="61" t="s">
        <v>101</v>
      </c>
      <c r="AB88" s="31">
        <v>1</v>
      </c>
      <c r="AC88" s="34">
        <v>211688100230</v>
      </c>
      <c r="AD88" s="34">
        <v>2332493649808</v>
      </c>
      <c r="AE88" s="70">
        <v>17862</v>
      </c>
      <c r="AF88" s="31">
        <v>716708998980</v>
      </c>
      <c r="AG88" s="34">
        <v>1450323589001</v>
      </c>
      <c r="AH88" s="34">
        <v>86490673308</v>
      </c>
      <c r="AI88" s="34">
        <v>94273512097</v>
      </c>
      <c r="AJ88" s="34">
        <v>249240157345</v>
      </c>
      <c r="AK88" s="34">
        <v>366150953174</v>
      </c>
      <c r="AL88" s="34">
        <v>893919610524</v>
      </c>
      <c r="AM88" s="34">
        <v>1228187224955</v>
      </c>
      <c r="AN88" s="34">
        <v>556403978477</v>
      </c>
      <c r="AO88" s="33">
        <v>0.1014</v>
      </c>
      <c r="AP88" s="34">
        <v>162335412690</v>
      </c>
      <c r="AQ88" s="34">
        <v>-205646049000</v>
      </c>
      <c r="AR88" s="34">
        <v>4435</v>
      </c>
      <c r="AS88" s="34">
        <v>2859</v>
      </c>
      <c r="AT88" s="34">
        <v>1546041957209</v>
      </c>
      <c r="AU88" s="31">
        <v>39</v>
      </c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</row>
    <row r="89" spans="1:61" ht="33" x14ac:dyDescent="0.35">
      <c r="A89" s="31">
        <v>18</v>
      </c>
      <c r="B89" s="31" t="s">
        <v>85</v>
      </c>
      <c r="C89" s="32" t="s">
        <v>86</v>
      </c>
      <c r="D89" s="31">
        <v>2021</v>
      </c>
      <c r="E89" s="31"/>
      <c r="F89" s="43">
        <v>2.9500000000000001E-4</v>
      </c>
      <c r="G89" s="43">
        <v>0.55810000000000004</v>
      </c>
      <c r="H89" s="43">
        <v>3.5799999999999998E-2</v>
      </c>
      <c r="I89" s="43">
        <v>7.8600000000000003E-2</v>
      </c>
      <c r="J89" s="34">
        <v>43000000</v>
      </c>
      <c r="K89" s="34">
        <v>1217826616841</v>
      </c>
      <c r="L89" s="34">
        <v>1216841125268</v>
      </c>
      <c r="M89" s="34">
        <v>4032489894814</v>
      </c>
      <c r="N89" s="34">
        <v>32850338103</v>
      </c>
      <c r="O89" s="34">
        <v>85666204569</v>
      </c>
      <c r="P89" s="34">
        <v>1230317715</v>
      </c>
      <c r="Q89" s="34">
        <v>237711460970</v>
      </c>
      <c r="R89" s="34">
        <v>352350933327</v>
      </c>
      <c r="S89" s="34">
        <v>249537526373</v>
      </c>
      <c r="T89" s="34">
        <v>842834693786</v>
      </c>
      <c r="U89" s="34">
        <v>44939798370</v>
      </c>
      <c r="V89" s="34">
        <v>43030823066</v>
      </c>
      <c r="W89" s="34">
        <v>875587012638</v>
      </c>
      <c r="X89" s="31" t="s">
        <v>52</v>
      </c>
      <c r="Y89" s="61" t="s">
        <v>100</v>
      </c>
      <c r="Z89" s="31">
        <v>1</v>
      </c>
      <c r="AA89" s="61" t="s">
        <v>101</v>
      </c>
      <c r="AB89" s="31">
        <v>1</v>
      </c>
      <c r="AC89" s="34">
        <v>472577534709</v>
      </c>
      <c r="AD89" s="34">
        <v>2744404297867</v>
      </c>
      <c r="AE89" s="70">
        <v>30534</v>
      </c>
      <c r="AF89" s="31">
        <v>1312962000000</v>
      </c>
      <c r="AG89" s="34">
        <v>1289937301637</v>
      </c>
      <c r="AH89" s="34">
        <v>707108416833</v>
      </c>
      <c r="AI89" s="34">
        <v>53473507264</v>
      </c>
      <c r="AJ89" s="34">
        <v>-313069740061</v>
      </c>
      <c r="AK89" s="34">
        <v>593108178577</v>
      </c>
      <c r="AL89" s="34">
        <v>824478638698</v>
      </c>
      <c r="AM89" s="34">
        <v>1618485780193</v>
      </c>
      <c r="AN89" s="34">
        <v>465458662939</v>
      </c>
      <c r="AO89" s="33">
        <v>7.0099999999999996E-2</v>
      </c>
      <c r="AP89" s="34">
        <v>213840783921</v>
      </c>
      <c r="AQ89" s="34">
        <v>-182055563450</v>
      </c>
      <c r="AR89" s="34">
        <v>8773</v>
      </c>
      <c r="AS89" s="34">
        <v>2631</v>
      </c>
      <c r="AT89" s="34">
        <v>1473351629828</v>
      </c>
      <c r="AU89" s="31">
        <v>40</v>
      </c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</row>
    <row r="90" spans="1:61" ht="33" x14ac:dyDescent="0.35">
      <c r="A90" s="31">
        <v>18</v>
      </c>
      <c r="B90" s="31" t="s">
        <v>85</v>
      </c>
      <c r="C90" s="32" t="s">
        <v>86</v>
      </c>
      <c r="D90" s="31">
        <v>2022</v>
      </c>
      <c r="E90" s="31"/>
      <c r="F90" s="43">
        <v>3.3799999999999998E-4</v>
      </c>
      <c r="G90" s="43">
        <v>0.55245</v>
      </c>
      <c r="H90" s="43" t="s">
        <v>52</v>
      </c>
      <c r="I90" s="43">
        <v>2.4469999999999999E-2</v>
      </c>
      <c r="J90" s="34">
        <v>43442966</v>
      </c>
      <c r="K90" s="34">
        <v>1211541255258</v>
      </c>
      <c r="L90" s="34">
        <v>1210731831577</v>
      </c>
      <c r="M90" s="34">
        <v>4164860326412</v>
      </c>
      <c r="N90" s="34">
        <v>26842981825</v>
      </c>
      <c r="O90" s="34">
        <v>95254305836</v>
      </c>
      <c r="P90" s="34">
        <v>1318825664</v>
      </c>
      <c r="Q90" s="34">
        <v>337920906482</v>
      </c>
      <c r="R90" s="34">
        <v>311140021188</v>
      </c>
      <c r="S90" s="34">
        <v>291203212055</v>
      </c>
      <c r="T90" s="34">
        <v>828941748783</v>
      </c>
      <c r="U90" s="34">
        <v>44950342209</v>
      </c>
      <c r="V90" s="34">
        <v>49128872774</v>
      </c>
      <c r="W90" s="34">
        <v>1008640727135</v>
      </c>
      <c r="X90" s="31" t="s">
        <v>52</v>
      </c>
      <c r="Y90" s="61" t="s">
        <v>100</v>
      </c>
      <c r="Z90" s="31">
        <v>1</v>
      </c>
      <c r="AA90" s="61" t="s">
        <v>101</v>
      </c>
      <c r="AB90" s="31">
        <v>1</v>
      </c>
      <c r="AC90" s="34">
        <v>291190347309</v>
      </c>
      <c r="AD90" s="34">
        <v>2994576946347</v>
      </c>
      <c r="AE90" s="70">
        <v>23236</v>
      </c>
      <c r="AF90" s="31">
        <v>1009440757976</v>
      </c>
      <c r="AG90" s="34">
        <v>1173569060380</v>
      </c>
      <c r="AH90" s="34">
        <v>282861233145</v>
      </c>
      <c r="AI90" s="34">
        <v>79305074684</v>
      </c>
      <c r="AJ90" s="34">
        <v>-346461555912</v>
      </c>
      <c r="AK90" s="34">
        <v>311048755901</v>
      </c>
      <c r="AL90" s="34">
        <v>874436852008</v>
      </c>
      <c r="AM90" s="34">
        <v>1885073999051</v>
      </c>
      <c r="AN90" s="34">
        <v>299132208372</v>
      </c>
      <c r="AO90" s="33">
        <v>-5.6800000000000003E-2</v>
      </c>
      <c r="AP90" s="34">
        <v>194002211764</v>
      </c>
      <c r="AQ90" s="34">
        <v>-170974298300</v>
      </c>
      <c r="AR90" s="34">
        <v>5767</v>
      </c>
      <c r="AS90" s="34">
        <v>2404</v>
      </c>
      <c r="AT90" s="34">
        <v>1425000383339</v>
      </c>
      <c r="AU90" s="31">
        <v>41</v>
      </c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</row>
    <row r="91" spans="1:61" ht="33" x14ac:dyDescent="0.35">
      <c r="A91" s="31">
        <v>18</v>
      </c>
      <c r="B91" s="31" t="s">
        <v>85</v>
      </c>
      <c r="C91" s="32" t="s">
        <v>86</v>
      </c>
      <c r="D91" s="31">
        <v>2023</v>
      </c>
      <c r="E91" s="31"/>
      <c r="F91" s="43">
        <v>4.6299999999999998E-4</v>
      </c>
      <c r="G91" s="43" t="s">
        <v>52</v>
      </c>
      <c r="H91" s="43">
        <v>0.61209999999999998</v>
      </c>
      <c r="I91" s="43">
        <v>3.04E-2</v>
      </c>
      <c r="J91" s="34">
        <v>86885932</v>
      </c>
      <c r="K91" s="34">
        <v>1041911277064</v>
      </c>
      <c r="L91" s="34">
        <v>1041122401105</v>
      </c>
      <c r="M91" s="34">
        <v>4258257438099</v>
      </c>
      <c r="N91" s="34">
        <v>22057210239</v>
      </c>
      <c r="O91" s="34">
        <v>94235246278</v>
      </c>
      <c r="P91" s="34">
        <v>1139808009</v>
      </c>
      <c r="Q91" s="34">
        <v>292860523752</v>
      </c>
      <c r="R91" s="34">
        <v>272486789365</v>
      </c>
      <c r="S91" s="34">
        <v>179572143880</v>
      </c>
      <c r="T91" s="34">
        <v>734396292169</v>
      </c>
      <c r="U91" s="34">
        <v>42494182754</v>
      </c>
      <c r="V91" s="34">
        <v>39709824051</v>
      </c>
      <c r="W91" s="34">
        <v>866618915830</v>
      </c>
      <c r="X91" s="31" t="s">
        <v>52</v>
      </c>
      <c r="Y91" s="61" t="s">
        <v>100</v>
      </c>
      <c r="Z91" s="31">
        <v>1</v>
      </c>
      <c r="AA91" s="61" t="s">
        <v>101</v>
      </c>
      <c r="AB91" s="31">
        <v>1</v>
      </c>
      <c r="AC91" s="34">
        <v>254104618230</v>
      </c>
      <c r="AD91" s="34">
        <v>3059221272030</v>
      </c>
      <c r="AE91" s="70">
        <v>29021</v>
      </c>
      <c r="AF91" s="31">
        <v>2521516632572</v>
      </c>
      <c r="AG91" s="34">
        <v>1203919256442</v>
      </c>
      <c r="AH91" s="34">
        <v>230157322014</v>
      </c>
      <c r="AI91" s="34">
        <v>89858689005</v>
      </c>
      <c r="AJ91" s="34">
        <v>-86279957371</v>
      </c>
      <c r="AK91" s="34">
        <v>319773928740</v>
      </c>
      <c r="AL91" s="34">
        <v>964702679582</v>
      </c>
      <c r="AM91" s="34">
        <v>2006038664631</v>
      </c>
      <c r="AN91" s="34">
        <v>239216576860</v>
      </c>
      <c r="AO91" s="33">
        <v>-0.14000000000000001</v>
      </c>
      <c r="AP91" s="34">
        <v>163961755059</v>
      </c>
      <c r="AQ91" s="34">
        <v>-131302350850</v>
      </c>
      <c r="AR91" s="34">
        <v>3388</v>
      </c>
      <c r="AS91" s="34">
        <v>2096</v>
      </c>
      <c r="AT91" s="34">
        <v>1378905184038</v>
      </c>
      <c r="AU91" s="31">
        <v>42</v>
      </c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</row>
    <row r="92" spans="1:61" ht="33" x14ac:dyDescent="0.35">
      <c r="A92" s="31">
        <v>18</v>
      </c>
      <c r="B92" s="31" t="s">
        <v>85</v>
      </c>
      <c r="C92" s="32" t="s">
        <v>86</v>
      </c>
      <c r="D92" s="31">
        <v>2024</v>
      </c>
      <c r="E92" s="31"/>
      <c r="F92" s="43">
        <v>4.3100000000000001E-4</v>
      </c>
      <c r="G92" s="43">
        <v>0.55245</v>
      </c>
      <c r="H92" s="43" t="s">
        <v>52</v>
      </c>
      <c r="I92" s="43">
        <v>5.0110000000000002E-2</v>
      </c>
      <c r="J92" s="34">
        <v>86885932</v>
      </c>
      <c r="K92" s="34">
        <v>1225313177658</v>
      </c>
      <c r="L92" s="34">
        <v>1224455210843</v>
      </c>
      <c r="M92" s="34">
        <v>4488156217220</v>
      </c>
      <c r="N92" s="34">
        <v>20101086432</v>
      </c>
      <c r="O92" s="34">
        <v>139738536359</v>
      </c>
      <c r="P92" s="34">
        <v>1305302354</v>
      </c>
      <c r="Q92" s="34">
        <v>376439072585</v>
      </c>
      <c r="R92" s="34">
        <v>318388413022</v>
      </c>
      <c r="S92" s="34">
        <v>168084778528</v>
      </c>
      <c r="T92" s="34">
        <v>818942083125</v>
      </c>
      <c r="U92" s="34">
        <v>19520190114</v>
      </c>
      <c r="V92" s="34">
        <v>33028736931</v>
      </c>
      <c r="W92" s="34">
        <v>970623527206</v>
      </c>
      <c r="X92" s="31" t="s">
        <v>52</v>
      </c>
      <c r="Y92" s="61" t="s">
        <v>100</v>
      </c>
      <c r="Z92" s="31">
        <v>1</v>
      </c>
      <c r="AA92" s="61" t="s">
        <v>101</v>
      </c>
      <c r="AB92" s="31">
        <v>1</v>
      </c>
      <c r="AC92" s="34">
        <v>324254719041</v>
      </c>
      <c r="AD92" s="34">
        <v>3239911054968</v>
      </c>
      <c r="AE92" s="70">
        <v>36941</v>
      </c>
      <c r="AF92" s="31">
        <v>3209653214012</v>
      </c>
      <c r="AG92" s="34">
        <v>1253181048318</v>
      </c>
      <c r="AH92" s="34">
        <v>356558313132</v>
      </c>
      <c r="AI92" s="31">
        <v>85548607730</v>
      </c>
      <c r="AJ92" s="34">
        <v>-231881834086</v>
      </c>
      <c r="AK92" s="34">
        <v>325585437397</v>
      </c>
      <c r="AL92" s="34">
        <v>997558317609</v>
      </c>
      <c r="AM92" s="34">
        <v>2200223977759</v>
      </c>
      <c r="AN92" s="34">
        <v>255622730709</v>
      </c>
      <c r="AO92" s="33">
        <v>0.17599999999999999</v>
      </c>
      <c r="AP92" s="34">
        <v>151333644253</v>
      </c>
      <c r="AQ92" s="34">
        <v>-129878461200</v>
      </c>
      <c r="AR92" s="34">
        <v>3000</v>
      </c>
      <c r="AS92" s="34">
        <v>2478</v>
      </c>
      <c r="AT92" s="34">
        <v>1379293885186</v>
      </c>
      <c r="AU92" s="31">
        <v>43</v>
      </c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</row>
    <row r="93" spans="1:61" ht="33" x14ac:dyDescent="0.35">
      <c r="A93" s="11">
        <v>19</v>
      </c>
      <c r="B93" s="11" t="s">
        <v>87</v>
      </c>
      <c r="C93" s="12" t="s">
        <v>88</v>
      </c>
      <c r="D93" s="11">
        <v>2020</v>
      </c>
      <c r="E93" s="11"/>
      <c r="F93" s="42">
        <v>3.4200000000000001E-2</v>
      </c>
      <c r="G93" s="42">
        <v>0</v>
      </c>
      <c r="H93" s="42">
        <v>0.54220000000000002</v>
      </c>
      <c r="I93" s="42">
        <v>0.1174</v>
      </c>
      <c r="J93" s="16">
        <v>21920000</v>
      </c>
      <c r="K93" s="16">
        <v>401540601460</v>
      </c>
      <c r="L93" s="16">
        <v>401540601460</v>
      </c>
      <c r="M93" s="16">
        <v>391500488516</v>
      </c>
      <c r="N93" s="16">
        <v>4898329123</v>
      </c>
      <c r="O93" s="16">
        <v>17066844047</v>
      </c>
      <c r="P93" s="16">
        <v>6152468806</v>
      </c>
      <c r="Q93" s="16">
        <v>231787880870</v>
      </c>
      <c r="R93" s="16">
        <v>151157825947</v>
      </c>
      <c r="S93" s="16">
        <v>20757936175</v>
      </c>
      <c r="T93" s="16">
        <v>235267596949</v>
      </c>
      <c r="U93" s="16">
        <v>3804200943</v>
      </c>
      <c r="V93" s="16">
        <v>126655111774</v>
      </c>
      <c r="W93" s="16">
        <v>267509486414</v>
      </c>
      <c r="X93" s="30" t="s">
        <v>52</v>
      </c>
      <c r="Y93" s="54" t="s">
        <v>95</v>
      </c>
      <c r="Z93" s="16">
        <v>0</v>
      </c>
      <c r="AA93" s="61" t="s">
        <v>101</v>
      </c>
      <c r="AB93" s="11">
        <v>1</v>
      </c>
      <c r="AC93" s="16">
        <v>121505367883</v>
      </c>
      <c r="AD93" s="16">
        <v>305464599543</v>
      </c>
      <c r="AE93" s="69">
        <v>34434</v>
      </c>
      <c r="AF93" s="16">
        <v>754793280000</v>
      </c>
      <c r="AG93" s="16">
        <v>86035888973</v>
      </c>
      <c r="AH93" s="16">
        <v>113942580162</v>
      </c>
      <c r="AI93" s="16">
        <v>599926821</v>
      </c>
      <c r="AJ93" s="16">
        <v>13788289228</v>
      </c>
      <c r="AK93" s="16">
        <v>50805367536</v>
      </c>
      <c r="AL93" s="16">
        <v>2987779139</v>
      </c>
      <c r="AM93" s="16">
        <v>222056616752</v>
      </c>
      <c r="AN93" s="16">
        <v>83048109834</v>
      </c>
      <c r="AO93" s="29">
        <v>-0.2225</v>
      </c>
      <c r="AP93" s="16">
        <v>68002460519</v>
      </c>
      <c r="AQ93" s="16">
        <v>-109254038350</v>
      </c>
      <c r="AR93" s="16">
        <v>4648</v>
      </c>
      <c r="AS93" s="11">
        <v>91</v>
      </c>
      <c r="AT93" s="16">
        <v>25564017303</v>
      </c>
      <c r="AU93" s="11">
        <v>45</v>
      </c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</row>
    <row r="94" spans="1:61" ht="31" x14ac:dyDescent="0.35">
      <c r="A94" s="11">
        <v>19</v>
      </c>
      <c r="B94" s="11" t="s">
        <v>87</v>
      </c>
      <c r="C94" s="12" t="s">
        <v>88</v>
      </c>
      <c r="D94" s="11">
        <v>2021</v>
      </c>
      <c r="E94" s="11"/>
      <c r="F94" s="42">
        <v>3.4200000000000001E-2</v>
      </c>
      <c r="G94" s="42">
        <v>0</v>
      </c>
      <c r="H94" s="42">
        <v>0.54220000000000002</v>
      </c>
      <c r="I94" s="42">
        <v>8.3000000000000004E-2</v>
      </c>
      <c r="J94" s="16">
        <v>21920000</v>
      </c>
      <c r="K94" s="16">
        <v>159041506887</v>
      </c>
      <c r="L94" s="16">
        <v>159041506887</v>
      </c>
      <c r="M94" s="16">
        <v>354494400407</v>
      </c>
      <c r="N94" s="16">
        <v>4348256070</v>
      </c>
      <c r="O94" s="16">
        <v>6551814467</v>
      </c>
      <c r="P94" s="16">
        <v>5976685422</v>
      </c>
      <c r="Q94" s="16">
        <v>110244347080</v>
      </c>
      <c r="R94" s="16">
        <v>38677587622</v>
      </c>
      <c r="S94" s="16">
        <v>6019794946</v>
      </c>
      <c r="T94" s="16">
        <v>115282113239</v>
      </c>
      <c r="U94" s="16">
        <v>4598053969</v>
      </c>
      <c r="V94" s="16">
        <v>63030872140</v>
      </c>
      <c r="W94" s="16">
        <v>126933530796</v>
      </c>
      <c r="X94" s="30" t="s">
        <v>52</v>
      </c>
      <c r="Y94" s="54" t="s">
        <v>95</v>
      </c>
      <c r="Z94" s="16">
        <v>0</v>
      </c>
      <c r="AA94" s="62" t="s">
        <v>95</v>
      </c>
      <c r="AB94" s="11">
        <v>0</v>
      </c>
      <c r="AC94" s="16">
        <v>38622174326</v>
      </c>
      <c r="AD94" s="16">
        <v>301557916283</v>
      </c>
      <c r="AE94" s="69">
        <v>25990</v>
      </c>
      <c r="AF94" s="16">
        <v>569700800000</v>
      </c>
      <c r="AG94" s="16">
        <v>52936484124</v>
      </c>
      <c r="AH94" s="16">
        <v>66124849645</v>
      </c>
      <c r="AI94" s="16">
        <v>1052876000</v>
      </c>
      <c r="AJ94" s="16">
        <v>4304408144</v>
      </c>
      <c r="AK94" s="16">
        <v>81983690505</v>
      </c>
      <c r="AL94" s="16">
        <v>3237370615</v>
      </c>
      <c r="AM94" s="16">
        <v>191283256901</v>
      </c>
      <c r="AN94" s="16">
        <v>49699113509</v>
      </c>
      <c r="AO94" s="29">
        <v>-0.60389999999999999</v>
      </c>
      <c r="AP94" s="16">
        <v>71427623037</v>
      </c>
      <c r="AQ94" s="16">
        <v>-39250934820</v>
      </c>
      <c r="AR94" s="16">
        <v>1621</v>
      </c>
      <c r="AS94" s="11">
        <v>65</v>
      </c>
      <c r="AT94" s="16">
        <v>21884764280</v>
      </c>
      <c r="AU94" s="11">
        <v>46</v>
      </c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</row>
    <row r="95" spans="1:61" ht="31" x14ac:dyDescent="0.35">
      <c r="A95" s="11">
        <v>19</v>
      </c>
      <c r="B95" s="11" t="s">
        <v>87</v>
      </c>
      <c r="C95" s="12" t="s">
        <v>88</v>
      </c>
      <c r="D95" s="11">
        <v>2022</v>
      </c>
      <c r="E95" s="11"/>
      <c r="F95" s="42">
        <v>3.4000000000000002E-2</v>
      </c>
      <c r="G95" s="42">
        <v>0</v>
      </c>
      <c r="H95" s="42">
        <v>0.59650000000000003</v>
      </c>
      <c r="I95" s="42">
        <v>6.3799999999999996E-2</v>
      </c>
      <c r="J95" s="16">
        <v>21920000</v>
      </c>
      <c r="K95" s="16">
        <v>80579832608</v>
      </c>
      <c r="L95" s="16">
        <v>80579832608</v>
      </c>
      <c r="M95" s="16">
        <v>406852698663</v>
      </c>
      <c r="N95" s="16">
        <v>2742218441</v>
      </c>
      <c r="O95" s="16">
        <v>10101027826</v>
      </c>
      <c r="P95" s="16">
        <v>5800902042</v>
      </c>
      <c r="Q95" s="16">
        <v>54850142530</v>
      </c>
      <c r="R95" s="16">
        <v>18101000108</v>
      </c>
      <c r="S95" s="16">
        <v>10826835634</v>
      </c>
      <c r="T95" s="16">
        <v>56179595678</v>
      </c>
      <c r="U95" s="16">
        <v>2774227773</v>
      </c>
      <c r="V95" s="16">
        <v>26852930309</v>
      </c>
      <c r="W95" s="16">
        <v>74597569278</v>
      </c>
      <c r="X95" s="30" t="s">
        <v>52</v>
      </c>
      <c r="Y95" s="54" t="s">
        <v>95</v>
      </c>
      <c r="Z95" s="16">
        <v>0</v>
      </c>
      <c r="AA95" s="62" t="s">
        <v>94</v>
      </c>
      <c r="AB95" s="11">
        <v>1</v>
      </c>
      <c r="AC95" s="16">
        <v>45054734783</v>
      </c>
      <c r="AD95" s="16">
        <v>351262839792</v>
      </c>
      <c r="AE95" s="69">
        <v>19817</v>
      </c>
      <c r="AF95" s="16">
        <v>434388640000</v>
      </c>
      <c r="AG95" s="16">
        <v>55589858871</v>
      </c>
      <c r="AH95" s="16">
        <v>44673933793</v>
      </c>
      <c r="AI95" s="16">
        <v>21720845265</v>
      </c>
      <c r="AJ95" s="16">
        <v>-104617065896</v>
      </c>
      <c r="AK95" s="16">
        <v>21959479762</v>
      </c>
      <c r="AL95" s="16">
        <v>3709634527</v>
      </c>
      <c r="AM95" s="16">
        <v>211990094059</v>
      </c>
      <c r="AN95" s="16">
        <v>51880224344</v>
      </c>
      <c r="AO95" s="29">
        <v>-0.49330000000000002</v>
      </c>
      <c r="AP95" s="16">
        <v>68548068836</v>
      </c>
      <c r="AQ95" s="16">
        <v>-81078640</v>
      </c>
      <c r="AR95" s="16">
        <v>1749</v>
      </c>
      <c r="AS95" s="11">
        <v>65</v>
      </c>
      <c r="AT95" s="16">
        <v>28634070451</v>
      </c>
      <c r="AU95" s="11">
        <v>47</v>
      </c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</row>
    <row r="96" spans="1:61" ht="31" x14ac:dyDescent="0.35">
      <c r="A96" s="11">
        <v>19</v>
      </c>
      <c r="B96" s="11" t="s">
        <v>87</v>
      </c>
      <c r="C96" s="12" t="s">
        <v>88</v>
      </c>
      <c r="D96" s="11">
        <v>2023</v>
      </c>
      <c r="E96" s="11"/>
      <c r="F96" s="42">
        <v>3.4000000000000002E-2</v>
      </c>
      <c r="G96" s="42">
        <v>0</v>
      </c>
      <c r="H96" s="42">
        <v>0.60019999999999996</v>
      </c>
      <c r="I96" s="42">
        <v>4.7699999999999999E-2</v>
      </c>
      <c r="J96" s="16">
        <v>21920000</v>
      </c>
      <c r="K96" s="16">
        <v>175941033105</v>
      </c>
      <c r="L96" s="16">
        <v>175941033105</v>
      </c>
      <c r="M96" s="16">
        <v>431434399497</v>
      </c>
      <c r="N96" s="16">
        <v>5163446544</v>
      </c>
      <c r="O96" s="16">
        <v>9721846346</v>
      </c>
      <c r="P96" s="16">
        <v>5625531059</v>
      </c>
      <c r="Q96" s="16">
        <v>72514377631</v>
      </c>
      <c r="R96" s="16">
        <v>44961878114</v>
      </c>
      <c r="S96" s="16">
        <v>23859370374</v>
      </c>
      <c r="T96" s="16">
        <v>106153427549</v>
      </c>
      <c r="U96" s="16">
        <v>192190573</v>
      </c>
      <c r="V96" s="16">
        <v>40298544217</v>
      </c>
      <c r="W96" s="16">
        <v>112494849131</v>
      </c>
      <c r="X96" s="30" t="s">
        <v>52</v>
      </c>
      <c r="Y96" s="54" t="s">
        <v>95</v>
      </c>
      <c r="Z96" s="16">
        <v>0</v>
      </c>
      <c r="AA96" s="65" t="s">
        <v>95</v>
      </c>
      <c r="AB96" s="11">
        <v>0</v>
      </c>
      <c r="AC96" s="16">
        <v>37271844865</v>
      </c>
      <c r="AD96" s="16">
        <v>374365042453</v>
      </c>
      <c r="AE96" s="69">
        <v>18286</v>
      </c>
      <c r="AF96" s="16">
        <v>400829120000</v>
      </c>
      <c r="AG96" s="16">
        <v>57069357044</v>
      </c>
      <c r="AH96" s="16">
        <v>45986061321</v>
      </c>
      <c r="AI96" s="16">
        <v>18516187507</v>
      </c>
      <c r="AJ96" s="16">
        <v>-26074385559</v>
      </c>
      <c r="AK96" s="16">
        <v>34222387046</v>
      </c>
      <c r="AL96" s="16">
        <v>3903081793</v>
      </c>
      <c r="AM96" s="16">
        <v>229379470498</v>
      </c>
      <c r="AN96" s="16">
        <v>53166275251</v>
      </c>
      <c r="AO96" s="29">
        <v>1.1834</v>
      </c>
      <c r="AP96" s="16">
        <v>47925456014</v>
      </c>
      <c r="AQ96" s="16">
        <v>-10911860765</v>
      </c>
      <c r="AR96" s="16">
        <v>1564</v>
      </c>
      <c r="AS96" s="11">
        <v>75</v>
      </c>
      <c r="AT96" s="16">
        <v>46125729442</v>
      </c>
      <c r="AU96" s="11">
        <v>48</v>
      </c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</row>
    <row r="97" spans="1:61" ht="31" x14ac:dyDescent="0.35">
      <c r="A97" s="11">
        <v>19</v>
      </c>
      <c r="B97" s="11" t="s">
        <v>87</v>
      </c>
      <c r="C97" s="12" t="s">
        <v>88</v>
      </c>
      <c r="D97" s="11">
        <v>2024</v>
      </c>
      <c r="E97" s="11"/>
      <c r="F97" s="42">
        <v>3.4000000000000002E-2</v>
      </c>
      <c r="G97" s="42">
        <v>0</v>
      </c>
      <c r="H97" s="42">
        <v>0.60019999999999996</v>
      </c>
      <c r="I97" s="42">
        <v>4.9299999999999997E-2</v>
      </c>
      <c r="J97" s="16">
        <v>21920000</v>
      </c>
      <c r="K97" s="16">
        <v>280070334347</v>
      </c>
      <c r="L97" s="16">
        <v>280070334347</v>
      </c>
      <c r="M97" s="16">
        <v>485884969241</v>
      </c>
      <c r="N97" s="16">
        <v>5976873628</v>
      </c>
      <c r="O97" s="16">
        <v>13797479814</v>
      </c>
      <c r="P97" s="16">
        <v>5512242122</v>
      </c>
      <c r="Q97" s="16">
        <v>96943290245</v>
      </c>
      <c r="R97" s="16">
        <v>78761547494</v>
      </c>
      <c r="S97" s="16">
        <v>38611523774</v>
      </c>
      <c r="T97" s="16">
        <v>152112143837</v>
      </c>
      <c r="U97" s="16">
        <v>766513392</v>
      </c>
      <c r="V97" s="16">
        <v>54291699490</v>
      </c>
      <c r="W97" s="16">
        <v>149141375371</v>
      </c>
      <c r="X97" s="30" t="s">
        <v>52</v>
      </c>
      <c r="Y97" s="54" t="s">
        <v>95</v>
      </c>
      <c r="Z97" s="16">
        <v>0</v>
      </c>
      <c r="AA97" s="62" t="s">
        <v>94</v>
      </c>
      <c r="AB97" s="11">
        <v>1</v>
      </c>
      <c r="AC97" s="16">
        <v>62607149256</v>
      </c>
      <c r="AD97" s="16">
        <v>420977695264</v>
      </c>
      <c r="AE97" s="69">
        <v>22878</v>
      </c>
      <c r="AF97" s="16">
        <v>501485760000</v>
      </c>
      <c r="AG97" s="16">
        <v>64907273977</v>
      </c>
      <c r="AH97" s="16">
        <v>97228840884</v>
      </c>
      <c r="AI97" s="16">
        <v>22878704307</v>
      </c>
      <c r="AJ97" s="16">
        <v>-20804044271</v>
      </c>
      <c r="AK97" s="16">
        <v>96678014272</v>
      </c>
      <c r="AL97" s="16">
        <v>7258099762</v>
      </c>
      <c r="AM97" s="16">
        <v>236735767992</v>
      </c>
      <c r="AN97" s="16">
        <v>57649174215</v>
      </c>
      <c r="AO97" s="29">
        <v>0.59179999999999999</v>
      </c>
      <c r="AP97" s="16">
        <v>8428454364</v>
      </c>
      <c r="AQ97" s="16">
        <v>-10706077100</v>
      </c>
      <c r="AR97" s="16">
        <v>2628</v>
      </c>
      <c r="AS97" s="11">
        <v>81</v>
      </c>
      <c r="AT97" s="16">
        <v>49739984201</v>
      </c>
      <c r="AU97" s="11">
        <v>49</v>
      </c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</row>
    <row r="98" spans="1:61" ht="31" x14ac:dyDescent="0.35">
      <c r="A98" s="31">
        <v>20</v>
      </c>
      <c r="B98" s="31" t="s">
        <v>89</v>
      </c>
      <c r="C98" s="32" t="s">
        <v>90</v>
      </c>
      <c r="D98" s="31">
        <v>2020</v>
      </c>
      <c r="E98" s="31"/>
      <c r="F98" s="49">
        <v>0.51139999999999997</v>
      </c>
      <c r="G98" s="49">
        <v>5.1000000000000004E-3</v>
      </c>
      <c r="H98" s="32" t="s">
        <v>52</v>
      </c>
      <c r="I98" s="32">
        <v>0.26240000000000002</v>
      </c>
      <c r="J98" s="32">
        <v>2500000</v>
      </c>
      <c r="K98" s="32">
        <v>111015268591</v>
      </c>
      <c r="L98" s="32">
        <v>111015268591</v>
      </c>
      <c r="M98" s="32">
        <v>195388578657</v>
      </c>
      <c r="N98" s="32">
        <v>0</v>
      </c>
      <c r="O98" s="32">
        <v>10439961338</v>
      </c>
      <c r="P98" s="32">
        <v>515669022</v>
      </c>
      <c r="Q98" s="32">
        <f>62947293913-258810602 -46789318505</f>
        <v>15899164806</v>
      </c>
      <c r="R98" s="32">
        <v>61292565279</v>
      </c>
      <c r="S98" s="32">
        <v>258810602</v>
      </c>
      <c r="T98" s="32">
        <f>60406200-64994455+52507332575</f>
        <v>52502744320</v>
      </c>
      <c r="U98" s="32" t="s">
        <v>52</v>
      </c>
      <c r="V98" s="32">
        <v>7700503597</v>
      </c>
      <c r="W98" s="32">
        <v>62947293913</v>
      </c>
      <c r="X98" s="32" t="s">
        <v>91</v>
      </c>
      <c r="Y98" s="54" t="s">
        <v>95</v>
      </c>
      <c r="Z98" s="32">
        <v>0</v>
      </c>
      <c r="AA98" s="63" t="s">
        <v>95</v>
      </c>
      <c r="AB98" s="32">
        <v>0</v>
      </c>
      <c r="AC98" s="32">
        <v>56146293239</v>
      </c>
      <c r="AD98" s="32">
        <v>165819432371</v>
      </c>
      <c r="AE98" s="70">
        <v>148232</v>
      </c>
      <c r="AF98" s="32">
        <v>370580000000</v>
      </c>
      <c r="AG98" s="32">
        <v>29569146286</v>
      </c>
      <c r="AH98" s="32">
        <v>29431375789</v>
      </c>
      <c r="AI98" s="32">
        <v>4233929383</v>
      </c>
      <c r="AJ98" s="32">
        <v>174814081074</v>
      </c>
      <c r="AK98" s="32">
        <v>98990357151</v>
      </c>
      <c r="AL98" s="32">
        <v>4388163539</v>
      </c>
      <c r="AM98" s="32">
        <v>167135621484</v>
      </c>
      <c r="AN98" s="32">
        <v>25180982747</v>
      </c>
      <c r="AO98" s="49">
        <v>-0.1688530989</v>
      </c>
      <c r="AP98" s="32">
        <v>60406200</v>
      </c>
      <c r="AQ98" s="32">
        <v>-129000000000</v>
      </c>
      <c r="AR98" s="32">
        <v>18174</v>
      </c>
      <c r="AS98" s="32">
        <v>185</v>
      </c>
      <c r="AT98" s="32">
        <v>26530790314</v>
      </c>
      <c r="AU98" s="32">
        <v>14</v>
      </c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</row>
    <row r="99" spans="1:61" ht="31" x14ac:dyDescent="0.35">
      <c r="A99" s="31">
        <v>20</v>
      </c>
      <c r="B99" s="31" t="s">
        <v>89</v>
      </c>
      <c r="C99" s="32" t="s">
        <v>90</v>
      </c>
      <c r="D99" s="31">
        <v>2021</v>
      </c>
      <c r="E99" s="31"/>
      <c r="F99" s="49">
        <v>0.1012</v>
      </c>
      <c r="G99" s="49">
        <v>5.1000000000000004E-3</v>
      </c>
      <c r="H99" s="32" t="s">
        <v>52</v>
      </c>
      <c r="I99" s="32">
        <v>0.27829999999999999</v>
      </c>
      <c r="J99" s="32">
        <v>2500000</v>
      </c>
      <c r="K99" s="32">
        <v>41072727</v>
      </c>
      <c r="L99" s="32">
        <v>54739151576</v>
      </c>
      <c r="M99" s="32">
        <v>185753796458</v>
      </c>
      <c r="N99" s="32">
        <v>0</v>
      </c>
      <c r="O99" s="32">
        <v>8725330879</v>
      </c>
      <c r="P99" s="32">
        <v>328511998</v>
      </c>
      <c r="Q99" s="32">
        <f>49344053813-156603180-36182994900</f>
        <v>13004455733</v>
      </c>
      <c r="R99" s="32">
        <v>11096866793</v>
      </c>
      <c r="S99" s="32">
        <v>156603180</v>
      </c>
      <c r="T99" s="32">
        <f>28002000-60406200+40618722934</f>
        <v>40586318734</v>
      </c>
      <c r="U99" s="32" t="s">
        <v>52</v>
      </c>
      <c r="V99" s="32">
        <v>5560307181</v>
      </c>
      <c r="W99" s="32">
        <v>49344053813</v>
      </c>
      <c r="X99" s="32" t="s">
        <v>52</v>
      </c>
      <c r="Y99" s="54" t="s">
        <v>95</v>
      </c>
      <c r="Z99" s="32">
        <v>0</v>
      </c>
      <c r="AA99" s="63" t="s">
        <v>95</v>
      </c>
      <c r="AB99" s="32">
        <v>0</v>
      </c>
      <c r="AC99" s="32">
        <v>11663529548</v>
      </c>
      <c r="AD99" s="32">
        <v>166526961919</v>
      </c>
      <c r="AE99" s="70">
        <v>131883</v>
      </c>
      <c r="AF99" s="32">
        <v>329707500000</v>
      </c>
      <c r="AG99" s="32">
        <v>19226834539</v>
      </c>
      <c r="AH99" s="32">
        <v>-5032868205</v>
      </c>
      <c r="AI99" s="32" t="s">
        <v>52</v>
      </c>
      <c r="AJ99" s="32">
        <v>46314052850</v>
      </c>
      <c r="AK99" s="32">
        <v>135271541796</v>
      </c>
      <c r="AL99" s="32">
        <v>4199288539</v>
      </c>
      <c r="AM99" s="32">
        <v>158661112561</v>
      </c>
      <c r="AN99" s="32">
        <v>15027546000</v>
      </c>
      <c r="AO99" s="49">
        <v>0.5071</v>
      </c>
      <c r="AP99" s="32">
        <v>28002000</v>
      </c>
      <c r="AQ99" s="32">
        <v>-5000000000</v>
      </c>
      <c r="AR99" s="32">
        <v>2283</v>
      </c>
      <c r="AS99" s="32">
        <v>166</v>
      </c>
      <c r="AT99" s="32">
        <v>25873448899</v>
      </c>
      <c r="AU99" s="32">
        <v>15</v>
      </c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</row>
    <row r="100" spans="1:61" ht="31" x14ac:dyDescent="0.35">
      <c r="A100" s="31">
        <v>20</v>
      </c>
      <c r="B100" s="31" t="s">
        <v>89</v>
      </c>
      <c r="C100" s="32" t="s">
        <v>90</v>
      </c>
      <c r="D100" s="31">
        <v>2022</v>
      </c>
      <c r="E100" s="31"/>
      <c r="F100" s="49">
        <v>0.61119999999999997</v>
      </c>
      <c r="G100" s="49">
        <v>5.1000000000000004E-3</v>
      </c>
      <c r="H100" s="32" t="s">
        <v>52</v>
      </c>
      <c r="I100" s="32">
        <v>0.2802</v>
      </c>
      <c r="J100" s="32">
        <v>2500000</v>
      </c>
      <c r="K100" s="32">
        <v>94055510414</v>
      </c>
      <c r="L100" s="32">
        <v>94055510414</v>
      </c>
      <c r="M100" s="32">
        <v>217600588007</v>
      </c>
      <c r="N100" s="32">
        <v>0</v>
      </c>
      <c r="O100" s="32">
        <v>13416992843</v>
      </c>
      <c r="P100" s="32">
        <v>1350002173</v>
      </c>
      <c r="Q100" s="32">
        <f>57502383467-162538764-41336001272</f>
        <v>16003843431</v>
      </c>
      <c r="R100" s="32">
        <v>43928640410</v>
      </c>
      <c r="S100" s="32">
        <v>162538764</v>
      </c>
      <c r="T100" s="32">
        <f>15612000-28002000+44085390624</f>
        <v>44073000624</v>
      </c>
      <c r="U100" s="32" t="s">
        <v>52</v>
      </c>
      <c r="V100" s="32">
        <v>7334527070</v>
      </c>
      <c r="W100" s="32">
        <v>57502383467</v>
      </c>
      <c r="X100" s="32" t="s">
        <v>52</v>
      </c>
      <c r="Y100" s="54" t="s">
        <v>95</v>
      </c>
      <c r="Z100" s="32">
        <v>0</v>
      </c>
      <c r="AA100" s="63" t="s">
        <v>95</v>
      </c>
      <c r="AB100" s="32">
        <v>0</v>
      </c>
      <c r="AC100" s="32">
        <v>38108392450</v>
      </c>
      <c r="AD100" s="32">
        <v>190910271095</v>
      </c>
      <c r="AE100" s="70">
        <v>121181</v>
      </c>
      <c r="AF100" s="32">
        <v>302952500000</v>
      </c>
      <c r="AG100" s="32">
        <v>26690316912</v>
      </c>
      <c r="AH100" s="32">
        <v>34858846210</v>
      </c>
      <c r="AI100" s="32">
        <v>3508937913</v>
      </c>
      <c r="AJ100" s="32">
        <v>-152914434931</v>
      </c>
      <c r="AK100" s="32">
        <v>12215953075</v>
      </c>
      <c r="AL100" s="32">
        <v>3969130874</v>
      </c>
      <c r="AM100" s="32">
        <v>192097235663</v>
      </c>
      <c r="AN100" s="32">
        <v>22721186038</v>
      </c>
      <c r="AO100" s="49">
        <v>2.2889699999999999</v>
      </c>
      <c r="AP100" s="32">
        <v>15612000</v>
      </c>
      <c r="AQ100" s="32">
        <v>-5000000000</v>
      </c>
      <c r="AR100" s="32">
        <v>11753</v>
      </c>
      <c r="AS100" s="32">
        <v>163</v>
      </c>
      <c r="AT100" s="32">
        <v>23152277128</v>
      </c>
      <c r="AU100" s="32">
        <v>16</v>
      </c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</row>
    <row r="101" spans="1:61" ht="31" x14ac:dyDescent="0.35">
      <c r="A101" s="31">
        <v>20</v>
      </c>
      <c r="B101" s="31" t="s">
        <v>89</v>
      </c>
      <c r="C101" s="32" t="s">
        <v>90</v>
      </c>
      <c r="D101" s="31">
        <v>2023</v>
      </c>
      <c r="E101" s="31"/>
      <c r="F101" s="49">
        <v>0.61119999999999997</v>
      </c>
      <c r="G101" s="49">
        <v>5.1000000000000004E-3</v>
      </c>
      <c r="H101" s="32" t="s">
        <v>52</v>
      </c>
      <c r="I101" s="43">
        <f>0.2847</f>
        <v>0.28470000000000001</v>
      </c>
      <c r="J101" s="32">
        <v>2500000</v>
      </c>
      <c r="K101" s="32">
        <v>140258530825</v>
      </c>
      <c r="L101" s="32">
        <v>140258530825</v>
      </c>
      <c r="M101" s="32">
        <v>284204982878</v>
      </c>
      <c r="N101" s="32">
        <v>0</v>
      </c>
      <c r="O101" s="32">
        <v>18674989124</v>
      </c>
      <c r="P101" s="32">
        <v>1219040178</v>
      </c>
      <c r="Q101" s="32">
        <f>73773971228-234907472-52904559825</f>
        <v>20634503931</v>
      </c>
      <c r="R101" s="32">
        <v>78801653681</v>
      </c>
      <c r="S101" s="32">
        <v>234907472</v>
      </c>
      <c r="T101" s="32">
        <f>99216000 -15612000+55098982104</f>
        <v>55182586104</v>
      </c>
      <c r="U101" s="32" t="s">
        <v>52</v>
      </c>
      <c r="V101" s="32">
        <v>10303931846</v>
      </c>
      <c r="W101" s="32">
        <v>73773971228</v>
      </c>
      <c r="X101" s="32" t="s">
        <v>52</v>
      </c>
      <c r="Y101" s="54" t="s">
        <v>95</v>
      </c>
      <c r="Z101" s="32">
        <v>0</v>
      </c>
      <c r="AA101" s="63" t="s">
        <v>95</v>
      </c>
      <c r="AB101" s="32">
        <v>0</v>
      </c>
      <c r="AC101" s="32">
        <v>66481743176</v>
      </c>
      <c r="AD101" s="32">
        <v>202912675278</v>
      </c>
      <c r="AE101" s="70">
        <v>135791</v>
      </c>
      <c r="AF101" s="32">
        <v>339477500000</v>
      </c>
      <c r="AG101" s="32">
        <v>81292307600</v>
      </c>
      <c r="AH101" s="32">
        <v>61003278264</v>
      </c>
      <c r="AI101" s="32">
        <v>7340478421</v>
      </c>
      <c r="AJ101" s="32">
        <v>-24083696694</v>
      </c>
      <c r="AK101" s="32">
        <v>44135534645</v>
      </c>
      <c r="AL101" s="32">
        <v>4239855874</v>
      </c>
      <c r="AM101" s="32">
        <v>255661059251</v>
      </c>
      <c r="AN101" s="32">
        <v>77052451726</v>
      </c>
      <c r="AO101" s="32">
        <v>0.49</v>
      </c>
      <c r="AP101" s="32">
        <v>99216000</v>
      </c>
      <c r="AQ101" s="32">
        <v>-5000000000</v>
      </c>
      <c r="AR101" s="32">
        <v>20705</v>
      </c>
      <c r="AS101" s="32">
        <v>161</v>
      </c>
      <c r="AT101" s="32">
        <v>25424039484</v>
      </c>
      <c r="AU101" s="32">
        <v>17</v>
      </c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</row>
    <row r="102" spans="1:61" ht="31" x14ac:dyDescent="0.35">
      <c r="A102" s="31">
        <v>20</v>
      </c>
      <c r="B102" s="31" t="s">
        <v>89</v>
      </c>
      <c r="C102" s="32" t="s">
        <v>90</v>
      </c>
      <c r="D102" s="31">
        <v>2024</v>
      </c>
      <c r="E102" s="31"/>
      <c r="F102" s="49">
        <v>0.1012</v>
      </c>
      <c r="G102" s="49">
        <v>5.1000000000000004E-3</v>
      </c>
      <c r="H102" s="32" t="s">
        <v>52</v>
      </c>
      <c r="I102" s="32">
        <v>0.28589999999999999</v>
      </c>
      <c r="J102" s="32">
        <v>2500000</v>
      </c>
      <c r="K102" s="32">
        <v>158282285993</v>
      </c>
      <c r="L102" s="32">
        <v>158282285993</v>
      </c>
      <c r="M102" s="32">
        <v>307619509302</v>
      </c>
      <c r="N102" s="32">
        <v>0</v>
      </c>
      <c r="O102" s="32">
        <v>17053901578</v>
      </c>
      <c r="P102" s="32">
        <v>3610898880</v>
      </c>
      <c r="Q102" s="32">
        <f>79949385224-317961108-57586648330</f>
        <v>22044775786</v>
      </c>
      <c r="R102" s="32">
        <v>88959225725</v>
      </c>
      <c r="S102" s="32">
        <v>317961108</v>
      </c>
      <c r="T102" s="32">
        <f>97194000-99216000+62895483646</f>
        <v>62893461646</v>
      </c>
      <c r="U102" s="32" t="s">
        <v>52</v>
      </c>
      <c r="V102" s="32">
        <v>10622602470</v>
      </c>
      <c r="W102" s="32">
        <v>79949385224</v>
      </c>
      <c r="X102" s="32" t="s">
        <v>52</v>
      </c>
      <c r="Y102" s="54" t="s">
        <v>95</v>
      </c>
      <c r="Z102" s="32">
        <v>0</v>
      </c>
      <c r="AA102" s="63" t="s">
        <v>95</v>
      </c>
      <c r="AB102" s="32">
        <v>0</v>
      </c>
      <c r="AC102" s="32">
        <v>75470841165</v>
      </c>
      <c r="AD102" s="32">
        <v>265593516443</v>
      </c>
      <c r="AE102" s="70">
        <v>212541</v>
      </c>
      <c r="AF102" s="32">
        <v>531352500000</v>
      </c>
      <c r="AG102" s="32">
        <v>42025992859</v>
      </c>
      <c r="AH102" s="32">
        <v>57811043013</v>
      </c>
      <c r="AI102" s="32">
        <v>11082268382</v>
      </c>
      <c r="AJ102" s="32">
        <v>69501414257</v>
      </c>
      <c r="AK102" s="32">
        <v>131447991915</v>
      </c>
      <c r="AL102" s="32">
        <v>4066671527</v>
      </c>
      <c r="AM102" s="32">
        <v>273541568116</v>
      </c>
      <c r="AN102" s="32">
        <v>37959321332</v>
      </c>
      <c r="AO102" s="32">
        <v>0.13</v>
      </c>
      <c r="AP102" s="32">
        <v>97194000</v>
      </c>
      <c r="AQ102" s="32">
        <v>-40000000000</v>
      </c>
      <c r="AR102" s="32">
        <v>25072</v>
      </c>
      <c r="AS102" s="32">
        <v>162</v>
      </c>
      <c r="AT102" s="32">
        <v>29456401929</v>
      </c>
      <c r="AU102" s="32">
        <v>18</v>
      </c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</row>
    <row r="103" spans="1:61" ht="15.5" x14ac:dyDescent="0.3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57"/>
      <c r="Z103" s="30"/>
      <c r="AA103" s="66"/>
      <c r="AB103" s="30"/>
      <c r="AC103" s="30"/>
      <c r="AD103" s="30"/>
      <c r="AE103" s="66"/>
      <c r="AF103" s="30"/>
      <c r="AG103" s="30"/>
      <c r="AH103" s="30"/>
      <c r="AI103" s="30"/>
      <c r="AJ103" s="30"/>
      <c r="AK103" s="30"/>
      <c r="AL103" s="30"/>
      <c r="AM103" s="30"/>
      <c r="AN103" s="30"/>
      <c r="AO103" s="5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</row>
    <row r="104" spans="1:61" ht="15.5" x14ac:dyDescent="0.3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57"/>
      <c r="Z104" s="30"/>
      <c r="AA104" s="66"/>
      <c r="AB104" s="30"/>
      <c r="AC104" s="30"/>
      <c r="AD104" s="30"/>
      <c r="AE104" s="66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</row>
    <row r="105" spans="1:61" ht="15.5" x14ac:dyDescent="0.3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57"/>
      <c r="Z105" s="30"/>
      <c r="AA105" s="66"/>
      <c r="AB105" s="30"/>
      <c r="AC105" s="30"/>
      <c r="AD105" s="30"/>
      <c r="AE105" s="66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</row>
    <row r="106" spans="1:61" ht="15.5" x14ac:dyDescent="0.35">
      <c r="A106" s="30"/>
      <c r="B106" s="30"/>
      <c r="C106" s="30"/>
      <c r="D106" s="30"/>
      <c r="E106" s="30"/>
      <c r="F106" s="42"/>
      <c r="G106" s="42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57"/>
      <c r="Z106" s="30"/>
      <c r="AA106" s="66"/>
      <c r="AB106" s="30"/>
      <c r="AC106" s="30"/>
      <c r="AD106" s="30"/>
      <c r="AE106" s="66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</row>
    <row r="107" spans="1:61" ht="15.5" x14ac:dyDescent="0.35">
      <c r="A107" s="30"/>
      <c r="B107" s="30"/>
      <c r="C107" s="30"/>
      <c r="D107" s="30"/>
      <c r="E107" s="30"/>
      <c r="F107" s="42"/>
      <c r="G107" s="42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57"/>
      <c r="Z107" s="30"/>
      <c r="AA107" s="66"/>
      <c r="AB107" s="30"/>
      <c r="AC107" s="30"/>
      <c r="AD107" s="30"/>
      <c r="AE107" s="66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</row>
    <row r="108" spans="1:61" ht="15.5" x14ac:dyDescent="0.35">
      <c r="A108" s="30"/>
      <c r="B108" s="30"/>
      <c r="C108" s="30"/>
      <c r="D108" s="30"/>
      <c r="E108" s="30"/>
      <c r="F108" s="42"/>
      <c r="G108" s="42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57"/>
      <c r="Z108" s="30"/>
      <c r="AA108" s="66"/>
      <c r="AB108" s="30"/>
      <c r="AC108" s="30"/>
      <c r="AD108" s="30"/>
      <c r="AE108" s="66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</row>
    <row r="109" spans="1:61" ht="15.5" x14ac:dyDescent="0.35">
      <c r="A109" s="30"/>
      <c r="B109" s="30"/>
      <c r="C109" s="30"/>
      <c r="D109" s="30"/>
      <c r="E109" s="30"/>
      <c r="F109" s="42"/>
      <c r="G109" s="42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57"/>
      <c r="Z109" s="30"/>
      <c r="AA109" s="66"/>
      <c r="AB109" s="30"/>
      <c r="AC109" s="30"/>
      <c r="AD109" s="30"/>
      <c r="AE109" s="66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</row>
    <row r="110" spans="1:61" ht="15.5" x14ac:dyDescent="0.35">
      <c r="A110" s="30"/>
      <c r="B110" s="30"/>
      <c r="C110" s="30"/>
      <c r="D110" s="30"/>
      <c r="E110" s="30"/>
      <c r="F110" s="42"/>
      <c r="G110" s="42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57"/>
      <c r="Z110" s="30"/>
      <c r="AA110" s="66"/>
      <c r="AB110" s="30"/>
      <c r="AC110" s="30"/>
      <c r="AD110" s="30"/>
      <c r="AE110" s="66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</row>
    <row r="111" spans="1:61" ht="15.5" x14ac:dyDescent="0.3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57"/>
      <c r="Z111" s="30"/>
      <c r="AA111" s="66"/>
      <c r="AB111" s="30"/>
      <c r="AC111" s="30"/>
      <c r="AD111" s="30"/>
      <c r="AE111" s="66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</row>
    <row r="112" spans="1:61" ht="15.5" x14ac:dyDescent="0.3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57"/>
      <c r="Z112" s="30"/>
      <c r="AA112" s="66"/>
      <c r="AB112" s="30"/>
      <c r="AC112" s="30"/>
      <c r="AD112" s="30"/>
      <c r="AE112" s="66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</row>
    <row r="113" spans="1:61" ht="15.5" x14ac:dyDescent="0.3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57"/>
      <c r="Z113" s="30"/>
      <c r="AA113" s="66"/>
      <c r="AB113" s="30"/>
      <c r="AC113" s="30"/>
      <c r="AD113" s="30"/>
      <c r="AE113" s="66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</row>
    <row r="114" spans="1:61" ht="15.5" x14ac:dyDescent="0.3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57"/>
      <c r="Z114" s="30"/>
      <c r="AA114" s="66"/>
      <c r="AB114" s="30"/>
      <c r="AC114" s="30"/>
      <c r="AD114" s="30"/>
      <c r="AE114" s="66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</row>
    <row r="115" spans="1:61" ht="15.5" x14ac:dyDescent="0.3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57"/>
      <c r="Z115" s="30"/>
      <c r="AA115" s="66"/>
      <c r="AB115" s="30"/>
      <c r="AC115" s="30"/>
      <c r="AD115" s="30"/>
      <c r="AE115" s="66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</row>
    <row r="116" spans="1:61" ht="15.5" x14ac:dyDescent="0.3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57"/>
      <c r="Z116" s="30"/>
      <c r="AA116" s="66"/>
      <c r="AB116" s="30"/>
      <c r="AC116" s="30"/>
      <c r="AD116" s="30"/>
      <c r="AE116" s="66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</row>
    <row r="117" spans="1:61" ht="15.5" x14ac:dyDescent="0.3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57"/>
      <c r="Z117" s="30"/>
      <c r="AA117" s="66"/>
      <c r="AB117" s="30"/>
      <c r="AC117" s="30"/>
      <c r="AD117" s="30"/>
      <c r="AE117" s="66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</row>
    <row r="118" spans="1:61" ht="15.5" x14ac:dyDescent="0.3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57"/>
      <c r="Z118" s="30"/>
      <c r="AA118" s="66"/>
      <c r="AB118" s="30"/>
      <c r="AC118" s="30"/>
      <c r="AD118" s="30"/>
      <c r="AE118" s="66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</row>
    <row r="119" spans="1:61" ht="15.5" x14ac:dyDescent="0.3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57"/>
      <c r="Z119" s="30"/>
      <c r="AA119" s="66"/>
      <c r="AB119" s="30"/>
      <c r="AC119" s="30"/>
      <c r="AD119" s="30"/>
      <c r="AE119" s="66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</row>
    <row r="120" spans="1:61" ht="15.5" x14ac:dyDescent="0.3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57"/>
      <c r="Z120" s="30"/>
      <c r="AA120" s="66"/>
      <c r="AB120" s="30"/>
      <c r="AC120" s="30"/>
      <c r="AD120" s="30"/>
      <c r="AE120" s="66"/>
      <c r="AF120" s="30"/>
      <c r="AG120" s="30"/>
      <c r="AH120" s="30"/>
      <c r="AI120" s="30"/>
      <c r="AJ120" s="30"/>
      <c r="AK120" s="30"/>
      <c r="AL120" s="30"/>
      <c r="AM120" s="30"/>
      <c r="AN120" s="30"/>
      <c r="AO120" s="5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</row>
    <row r="121" spans="1:61" ht="15.5" x14ac:dyDescent="0.3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57"/>
      <c r="Z121" s="30"/>
      <c r="AA121" s="66"/>
      <c r="AB121" s="30"/>
      <c r="AC121" s="30"/>
      <c r="AD121" s="30"/>
      <c r="AE121" s="66"/>
      <c r="AF121" s="30"/>
      <c r="AG121" s="30"/>
      <c r="AH121" s="30"/>
      <c r="AI121" s="30"/>
      <c r="AJ121" s="30"/>
      <c r="AK121" s="30"/>
      <c r="AL121" s="30"/>
      <c r="AM121" s="30"/>
      <c r="AN121" s="30"/>
      <c r="AO121" s="5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</row>
    <row r="122" spans="1:61" ht="15.5" x14ac:dyDescent="0.3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57"/>
      <c r="Z122" s="30"/>
      <c r="AA122" s="66"/>
      <c r="AB122" s="30"/>
      <c r="AC122" s="30"/>
      <c r="AD122" s="30"/>
      <c r="AE122" s="66"/>
      <c r="AF122" s="30"/>
      <c r="AG122" s="30"/>
      <c r="AH122" s="30"/>
      <c r="AI122" s="30"/>
      <c r="AJ122" s="30"/>
      <c r="AK122" s="30"/>
      <c r="AL122" s="30"/>
      <c r="AM122" s="30"/>
      <c r="AN122" s="30"/>
      <c r="AO122" s="5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</row>
    <row r="123" spans="1:61" ht="15.5" x14ac:dyDescent="0.3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57"/>
      <c r="Z123" s="30"/>
      <c r="AA123" s="66"/>
      <c r="AB123" s="30"/>
      <c r="AC123" s="30"/>
      <c r="AD123" s="30"/>
      <c r="AE123" s="66"/>
      <c r="AF123" s="30"/>
      <c r="AG123" s="30"/>
      <c r="AH123" s="30"/>
      <c r="AI123" s="30"/>
      <c r="AJ123" s="30"/>
      <c r="AK123" s="30"/>
      <c r="AL123" s="30"/>
      <c r="AM123" s="30"/>
      <c r="AN123" s="30"/>
      <c r="AO123" s="5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</row>
    <row r="124" spans="1:61" ht="15.5" x14ac:dyDescent="0.3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57"/>
      <c r="Z124" s="30"/>
      <c r="AA124" s="66"/>
      <c r="AB124" s="30"/>
      <c r="AC124" s="30"/>
      <c r="AD124" s="30"/>
      <c r="AE124" s="66"/>
      <c r="AF124" s="30"/>
      <c r="AG124" s="30"/>
      <c r="AH124" s="30"/>
      <c r="AI124" s="30"/>
      <c r="AJ124" s="30"/>
      <c r="AK124" s="30"/>
      <c r="AL124" s="30"/>
      <c r="AM124" s="30"/>
      <c r="AN124" s="30"/>
      <c r="AO124" s="5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</row>
    <row r="125" spans="1:61" ht="15.5" x14ac:dyDescent="0.3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57"/>
      <c r="Z125" s="30"/>
      <c r="AA125" s="66"/>
      <c r="AB125" s="30"/>
      <c r="AC125" s="30"/>
      <c r="AD125" s="30"/>
      <c r="AE125" s="66"/>
      <c r="AF125" s="30"/>
      <c r="AG125" s="30"/>
      <c r="AH125" s="30"/>
      <c r="AI125" s="30"/>
      <c r="AJ125" s="30"/>
      <c r="AK125" s="30"/>
      <c r="AL125" s="30"/>
      <c r="AM125" s="30"/>
      <c r="AN125" s="30"/>
      <c r="AO125" s="5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</row>
    <row r="126" spans="1:61" ht="15.5" x14ac:dyDescent="0.3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57"/>
      <c r="Z126" s="30"/>
      <c r="AA126" s="66"/>
      <c r="AB126" s="30"/>
      <c r="AC126" s="30"/>
      <c r="AD126" s="30"/>
      <c r="AE126" s="66"/>
      <c r="AF126" s="30"/>
      <c r="AG126" s="30"/>
      <c r="AH126" s="30"/>
      <c r="AI126" s="30"/>
      <c r="AJ126" s="30"/>
      <c r="AK126" s="30"/>
      <c r="AL126" s="30"/>
      <c r="AM126" s="30"/>
      <c r="AN126" s="30"/>
      <c r="AO126" s="5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</row>
    <row r="127" spans="1:61" ht="15.5" x14ac:dyDescent="0.3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57"/>
      <c r="Z127" s="30"/>
      <c r="AA127" s="66"/>
      <c r="AB127" s="30"/>
      <c r="AC127" s="30"/>
      <c r="AD127" s="30"/>
      <c r="AE127" s="66"/>
      <c r="AF127" s="30"/>
      <c r="AG127" s="30"/>
      <c r="AH127" s="30"/>
      <c r="AI127" s="30"/>
      <c r="AJ127" s="30"/>
      <c r="AK127" s="30"/>
      <c r="AL127" s="30"/>
      <c r="AM127" s="30"/>
      <c r="AN127" s="30"/>
      <c r="AO127" s="5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</row>
    <row r="128" spans="1:61" ht="15.5" x14ac:dyDescent="0.3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57"/>
      <c r="Z128" s="30"/>
      <c r="AA128" s="66"/>
      <c r="AB128" s="30"/>
      <c r="AC128" s="30"/>
      <c r="AD128" s="30"/>
      <c r="AE128" s="66"/>
      <c r="AF128" s="30"/>
      <c r="AG128" s="30"/>
      <c r="AH128" s="30"/>
      <c r="AI128" s="30"/>
      <c r="AJ128" s="30"/>
      <c r="AK128" s="30"/>
      <c r="AL128" s="30"/>
      <c r="AM128" s="30"/>
      <c r="AN128" s="30"/>
      <c r="AO128" s="5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</row>
    <row r="129" spans="1:61" ht="15.5" x14ac:dyDescent="0.3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57"/>
      <c r="Z129" s="30"/>
      <c r="AA129" s="66"/>
      <c r="AB129" s="30"/>
      <c r="AC129" s="30"/>
      <c r="AD129" s="30"/>
      <c r="AE129" s="66"/>
      <c r="AF129" s="30"/>
      <c r="AG129" s="30"/>
      <c r="AH129" s="30"/>
      <c r="AI129" s="30"/>
      <c r="AJ129" s="30"/>
      <c r="AK129" s="30"/>
      <c r="AL129" s="30"/>
      <c r="AM129" s="30"/>
      <c r="AN129" s="30"/>
      <c r="AO129" s="5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</row>
    <row r="130" spans="1:61" ht="15.5" x14ac:dyDescent="0.3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57"/>
      <c r="Z130" s="30"/>
      <c r="AA130" s="66"/>
      <c r="AB130" s="30"/>
      <c r="AC130" s="30"/>
      <c r="AD130" s="30"/>
      <c r="AE130" s="66"/>
      <c r="AF130" s="30"/>
      <c r="AG130" s="30"/>
      <c r="AH130" s="30"/>
      <c r="AI130" s="30"/>
      <c r="AJ130" s="30"/>
      <c r="AK130" s="30"/>
      <c r="AL130" s="30"/>
      <c r="AM130" s="30"/>
      <c r="AN130" s="30"/>
      <c r="AO130" s="5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</row>
    <row r="131" spans="1:61" ht="15.5" x14ac:dyDescent="0.3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57"/>
      <c r="Z131" s="30"/>
      <c r="AA131" s="66"/>
      <c r="AB131" s="30"/>
      <c r="AC131" s="30"/>
      <c r="AD131" s="30"/>
      <c r="AE131" s="66"/>
      <c r="AF131" s="30"/>
      <c r="AG131" s="30"/>
      <c r="AH131" s="30"/>
      <c r="AI131" s="30"/>
      <c r="AJ131" s="30"/>
      <c r="AK131" s="30"/>
      <c r="AL131" s="30"/>
      <c r="AM131" s="30"/>
      <c r="AN131" s="30"/>
      <c r="AO131" s="5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</row>
    <row r="132" spans="1:61" ht="15.5" x14ac:dyDescent="0.3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57"/>
      <c r="Z132" s="30"/>
      <c r="AA132" s="66"/>
      <c r="AB132" s="30"/>
      <c r="AC132" s="30"/>
      <c r="AD132" s="30"/>
      <c r="AE132" s="66"/>
      <c r="AF132" s="30"/>
      <c r="AG132" s="30"/>
      <c r="AH132" s="30"/>
      <c r="AI132" s="30"/>
      <c r="AJ132" s="30"/>
      <c r="AK132" s="30"/>
      <c r="AL132" s="30"/>
      <c r="AM132" s="30"/>
      <c r="AN132" s="30"/>
      <c r="AO132" s="5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</row>
    <row r="133" spans="1:61" ht="15.5" x14ac:dyDescent="0.3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57"/>
      <c r="Z133" s="30"/>
      <c r="AA133" s="66"/>
      <c r="AB133" s="30"/>
      <c r="AC133" s="30"/>
      <c r="AD133" s="30"/>
      <c r="AE133" s="66"/>
      <c r="AF133" s="30"/>
      <c r="AG133" s="30"/>
      <c r="AH133" s="30"/>
      <c r="AI133" s="30"/>
      <c r="AJ133" s="30"/>
      <c r="AK133" s="30"/>
      <c r="AL133" s="30"/>
      <c r="AM133" s="30"/>
      <c r="AN133" s="30"/>
      <c r="AO133" s="5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</row>
    <row r="134" spans="1:61" ht="15.5" x14ac:dyDescent="0.3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57"/>
      <c r="Z134" s="30"/>
      <c r="AA134" s="66"/>
      <c r="AB134" s="30"/>
      <c r="AC134" s="30"/>
      <c r="AD134" s="30"/>
      <c r="AE134" s="66"/>
      <c r="AF134" s="30"/>
      <c r="AG134" s="30"/>
      <c r="AH134" s="30"/>
      <c r="AI134" s="30"/>
      <c r="AJ134" s="30"/>
      <c r="AK134" s="30"/>
      <c r="AL134" s="30"/>
      <c r="AM134" s="30"/>
      <c r="AN134" s="30"/>
      <c r="AO134" s="5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</row>
    <row r="135" spans="1:61" ht="15.5" x14ac:dyDescent="0.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57"/>
      <c r="Z135" s="30"/>
      <c r="AA135" s="66"/>
      <c r="AB135" s="30"/>
      <c r="AC135" s="30"/>
      <c r="AD135" s="30"/>
      <c r="AE135" s="66"/>
      <c r="AF135" s="30"/>
      <c r="AG135" s="30"/>
      <c r="AH135" s="30"/>
      <c r="AI135" s="30"/>
      <c r="AJ135" s="30"/>
      <c r="AK135" s="30"/>
      <c r="AL135" s="30"/>
      <c r="AM135" s="30"/>
      <c r="AN135" s="30"/>
      <c r="AO135" s="5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</row>
    <row r="136" spans="1:61" ht="15.5" x14ac:dyDescent="0.3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57"/>
      <c r="Z136" s="30"/>
      <c r="AA136" s="66"/>
      <c r="AB136" s="30"/>
      <c r="AC136" s="30"/>
      <c r="AD136" s="30"/>
      <c r="AE136" s="66"/>
      <c r="AF136" s="30"/>
      <c r="AG136" s="30"/>
      <c r="AH136" s="30"/>
      <c r="AI136" s="30"/>
      <c r="AJ136" s="30"/>
      <c r="AK136" s="30"/>
      <c r="AL136" s="30"/>
      <c r="AM136" s="30"/>
      <c r="AN136" s="30"/>
      <c r="AO136" s="5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</row>
    <row r="137" spans="1:61" ht="15.5" x14ac:dyDescent="0.3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57"/>
      <c r="Z137" s="30"/>
      <c r="AA137" s="66"/>
      <c r="AB137" s="30"/>
      <c r="AC137" s="30"/>
      <c r="AD137" s="30"/>
      <c r="AE137" s="66"/>
      <c r="AF137" s="30"/>
      <c r="AG137" s="30"/>
      <c r="AH137" s="30"/>
      <c r="AI137" s="30"/>
      <c r="AJ137" s="30"/>
      <c r="AK137" s="30"/>
      <c r="AL137" s="30"/>
      <c r="AM137" s="30"/>
      <c r="AN137" s="30"/>
      <c r="AO137" s="5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</row>
    <row r="138" spans="1:61" ht="15.5" x14ac:dyDescent="0.3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57"/>
      <c r="Z138" s="30"/>
      <c r="AA138" s="66"/>
      <c r="AB138" s="30"/>
      <c r="AC138" s="30"/>
      <c r="AD138" s="30"/>
      <c r="AE138" s="66"/>
      <c r="AF138" s="30"/>
      <c r="AG138" s="30"/>
      <c r="AH138" s="30"/>
      <c r="AI138" s="30"/>
      <c r="AJ138" s="30"/>
      <c r="AK138" s="30"/>
      <c r="AL138" s="30"/>
      <c r="AM138" s="30"/>
      <c r="AN138" s="30"/>
      <c r="AO138" s="5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</row>
    <row r="139" spans="1:61" ht="15.5" x14ac:dyDescent="0.3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57"/>
      <c r="Z139" s="30"/>
      <c r="AA139" s="66"/>
      <c r="AB139" s="30"/>
      <c r="AC139" s="30"/>
      <c r="AD139" s="30"/>
      <c r="AE139" s="66"/>
      <c r="AF139" s="30"/>
      <c r="AG139" s="30"/>
      <c r="AH139" s="30"/>
      <c r="AI139" s="30"/>
      <c r="AJ139" s="30"/>
      <c r="AK139" s="30"/>
      <c r="AL139" s="30"/>
      <c r="AM139" s="30"/>
      <c r="AN139" s="30"/>
      <c r="AO139" s="5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</row>
    <row r="140" spans="1:61" ht="15.5" x14ac:dyDescent="0.3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57"/>
      <c r="Z140" s="30"/>
      <c r="AA140" s="66"/>
      <c r="AB140" s="30"/>
      <c r="AC140" s="30"/>
      <c r="AD140" s="30"/>
      <c r="AE140" s="66"/>
      <c r="AF140" s="30"/>
      <c r="AG140" s="30"/>
      <c r="AH140" s="30"/>
      <c r="AI140" s="30"/>
      <c r="AJ140" s="30"/>
      <c r="AK140" s="30"/>
      <c r="AL140" s="30"/>
      <c r="AM140" s="30"/>
      <c r="AN140" s="30"/>
      <c r="AO140" s="5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</row>
    <row r="141" spans="1:61" ht="15.5" x14ac:dyDescent="0.3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57"/>
      <c r="Z141" s="30"/>
      <c r="AA141" s="66"/>
      <c r="AB141" s="30"/>
      <c r="AC141" s="30"/>
      <c r="AD141" s="30"/>
      <c r="AE141" s="66"/>
      <c r="AF141" s="30"/>
      <c r="AG141" s="30"/>
      <c r="AH141" s="30"/>
      <c r="AI141" s="30"/>
      <c r="AJ141" s="30"/>
      <c r="AK141" s="30"/>
      <c r="AL141" s="30"/>
      <c r="AM141" s="30"/>
      <c r="AN141" s="30"/>
      <c r="AO141" s="5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</row>
    <row r="142" spans="1:61" ht="15.5" x14ac:dyDescent="0.3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57"/>
      <c r="Z142" s="30"/>
      <c r="AA142" s="66"/>
      <c r="AB142" s="30"/>
      <c r="AC142" s="30"/>
      <c r="AD142" s="30"/>
      <c r="AE142" s="66"/>
      <c r="AF142" s="30"/>
      <c r="AG142" s="30"/>
      <c r="AH142" s="30"/>
      <c r="AI142" s="30"/>
      <c r="AJ142" s="30"/>
      <c r="AK142" s="30"/>
      <c r="AL142" s="30"/>
      <c r="AM142" s="30"/>
      <c r="AN142" s="30"/>
      <c r="AO142" s="5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</row>
    <row r="143" spans="1:61" ht="15.5" x14ac:dyDescent="0.3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57"/>
      <c r="Z143" s="30"/>
      <c r="AA143" s="66"/>
      <c r="AB143" s="30"/>
      <c r="AC143" s="30"/>
      <c r="AD143" s="30"/>
      <c r="AE143" s="66"/>
      <c r="AF143" s="30"/>
      <c r="AG143" s="30"/>
      <c r="AH143" s="30"/>
      <c r="AI143" s="30"/>
      <c r="AJ143" s="30"/>
      <c r="AK143" s="30"/>
      <c r="AL143" s="30"/>
      <c r="AM143" s="30"/>
      <c r="AN143" s="30"/>
      <c r="AO143" s="5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</row>
    <row r="144" spans="1:61" ht="15.5" x14ac:dyDescent="0.3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57"/>
      <c r="Z144" s="30"/>
      <c r="AA144" s="66"/>
      <c r="AB144" s="30"/>
      <c r="AC144" s="30"/>
      <c r="AD144" s="30"/>
      <c r="AE144" s="66"/>
      <c r="AF144" s="30"/>
      <c r="AG144" s="30"/>
      <c r="AH144" s="30"/>
      <c r="AI144" s="30"/>
      <c r="AJ144" s="30"/>
      <c r="AK144" s="30"/>
      <c r="AL144" s="30"/>
      <c r="AM144" s="30"/>
      <c r="AN144" s="30"/>
      <c r="AO144" s="5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</row>
    <row r="145" spans="1:61" ht="15.5" x14ac:dyDescent="0.3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57"/>
      <c r="Z145" s="30"/>
      <c r="AA145" s="66"/>
      <c r="AB145" s="30"/>
      <c r="AC145" s="30"/>
      <c r="AD145" s="30"/>
      <c r="AE145" s="66"/>
      <c r="AF145" s="30"/>
      <c r="AG145" s="30"/>
      <c r="AH145" s="30"/>
      <c r="AI145" s="30"/>
      <c r="AJ145" s="30"/>
      <c r="AK145" s="30"/>
      <c r="AL145" s="30"/>
      <c r="AM145" s="30"/>
      <c r="AN145" s="30"/>
      <c r="AO145" s="5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</row>
    <row r="146" spans="1:61" ht="15.5" x14ac:dyDescent="0.3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57"/>
      <c r="Z146" s="30"/>
      <c r="AA146" s="66"/>
      <c r="AB146" s="30"/>
      <c r="AC146" s="30"/>
      <c r="AD146" s="30"/>
      <c r="AE146" s="66"/>
      <c r="AF146" s="30"/>
      <c r="AG146" s="30"/>
      <c r="AH146" s="30"/>
      <c r="AI146" s="30"/>
      <c r="AJ146" s="30"/>
      <c r="AK146" s="30"/>
      <c r="AL146" s="30"/>
      <c r="AM146" s="30"/>
      <c r="AN146" s="30"/>
      <c r="AO146" s="5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</row>
    <row r="147" spans="1:61" ht="15.5" x14ac:dyDescent="0.3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57"/>
      <c r="Z147" s="30"/>
      <c r="AA147" s="66"/>
      <c r="AB147" s="30"/>
      <c r="AC147" s="30"/>
      <c r="AD147" s="30"/>
      <c r="AE147" s="66"/>
      <c r="AF147" s="30"/>
      <c r="AG147" s="30"/>
      <c r="AH147" s="30"/>
      <c r="AI147" s="30"/>
      <c r="AJ147" s="30"/>
      <c r="AK147" s="30"/>
      <c r="AL147" s="30"/>
      <c r="AM147" s="30"/>
      <c r="AN147" s="30"/>
      <c r="AO147" s="5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</row>
    <row r="148" spans="1:61" ht="15.5" x14ac:dyDescent="0.3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57"/>
      <c r="Z148" s="30"/>
      <c r="AA148" s="66"/>
      <c r="AB148" s="30"/>
      <c r="AC148" s="30"/>
      <c r="AD148" s="30"/>
      <c r="AE148" s="66"/>
      <c r="AF148" s="30"/>
      <c r="AG148" s="30"/>
      <c r="AH148" s="30"/>
      <c r="AI148" s="30"/>
      <c r="AJ148" s="30"/>
      <c r="AK148" s="30"/>
      <c r="AL148" s="30"/>
      <c r="AM148" s="30"/>
      <c r="AN148" s="30"/>
      <c r="AO148" s="5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</row>
    <row r="149" spans="1:61" ht="15.5" x14ac:dyDescent="0.3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57"/>
      <c r="Z149" s="30"/>
      <c r="AA149" s="66"/>
      <c r="AB149" s="30"/>
      <c r="AC149" s="30"/>
      <c r="AD149" s="30"/>
      <c r="AE149" s="66"/>
      <c r="AF149" s="30"/>
      <c r="AG149" s="30"/>
      <c r="AH149" s="30"/>
      <c r="AI149" s="30"/>
      <c r="AJ149" s="30"/>
      <c r="AK149" s="30"/>
      <c r="AL149" s="30"/>
      <c r="AM149" s="30"/>
      <c r="AN149" s="30"/>
      <c r="AO149" s="5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</row>
    <row r="150" spans="1:61" ht="15.5" x14ac:dyDescent="0.3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57"/>
      <c r="Z150" s="30"/>
      <c r="AA150" s="66"/>
      <c r="AB150" s="30"/>
      <c r="AC150" s="30"/>
      <c r="AD150" s="30"/>
      <c r="AE150" s="66"/>
      <c r="AF150" s="30"/>
      <c r="AG150" s="30"/>
      <c r="AH150" s="30"/>
      <c r="AI150" s="30"/>
      <c r="AJ150" s="30"/>
      <c r="AK150" s="30"/>
      <c r="AL150" s="30"/>
      <c r="AM150" s="30"/>
      <c r="AN150" s="30"/>
      <c r="AO150" s="5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</row>
    <row r="151" spans="1:61" ht="15.5" x14ac:dyDescent="0.3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57"/>
      <c r="Z151" s="30"/>
      <c r="AA151" s="66"/>
      <c r="AB151" s="30"/>
      <c r="AC151" s="30"/>
      <c r="AD151" s="30"/>
      <c r="AE151" s="66"/>
      <c r="AF151" s="30"/>
      <c r="AG151" s="30"/>
      <c r="AH151" s="30"/>
      <c r="AI151" s="30"/>
      <c r="AJ151" s="30"/>
      <c r="AK151" s="30"/>
      <c r="AL151" s="30"/>
      <c r="AM151" s="30"/>
      <c r="AN151" s="30"/>
      <c r="AO151" s="5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</row>
    <row r="152" spans="1:61" ht="15.5" x14ac:dyDescent="0.3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57"/>
      <c r="Z152" s="30"/>
      <c r="AA152" s="66"/>
      <c r="AB152" s="30"/>
      <c r="AC152" s="30"/>
      <c r="AD152" s="30"/>
      <c r="AE152" s="66"/>
      <c r="AF152" s="30"/>
      <c r="AG152" s="30"/>
      <c r="AH152" s="30"/>
      <c r="AI152" s="30"/>
      <c r="AJ152" s="30"/>
      <c r="AK152" s="30"/>
      <c r="AL152" s="30"/>
      <c r="AM152" s="30"/>
      <c r="AN152" s="30"/>
      <c r="AO152" s="5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</row>
    <row r="153" spans="1:61" ht="15.5" x14ac:dyDescent="0.3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57"/>
      <c r="Z153" s="30"/>
      <c r="AA153" s="66"/>
      <c r="AB153" s="30"/>
      <c r="AC153" s="30"/>
      <c r="AD153" s="30"/>
      <c r="AE153" s="66"/>
      <c r="AF153" s="30"/>
      <c r="AG153" s="30"/>
      <c r="AH153" s="30"/>
      <c r="AI153" s="30"/>
      <c r="AJ153" s="30"/>
      <c r="AK153" s="30"/>
      <c r="AL153" s="30"/>
      <c r="AM153" s="30"/>
      <c r="AN153" s="30"/>
      <c r="AO153" s="5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</row>
    <row r="154" spans="1:61" ht="15.5" x14ac:dyDescent="0.3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57"/>
      <c r="Z154" s="30"/>
      <c r="AA154" s="66"/>
      <c r="AB154" s="30"/>
      <c r="AC154" s="30"/>
      <c r="AD154" s="30"/>
      <c r="AE154" s="66"/>
      <c r="AF154" s="30"/>
      <c r="AG154" s="30"/>
      <c r="AH154" s="30"/>
      <c r="AI154" s="30"/>
      <c r="AJ154" s="30"/>
      <c r="AK154" s="30"/>
      <c r="AL154" s="30"/>
      <c r="AM154" s="30"/>
      <c r="AN154" s="30"/>
      <c r="AO154" s="5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</row>
    <row r="155" spans="1:61" ht="15.5" x14ac:dyDescent="0.3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57"/>
      <c r="Z155" s="30"/>
      <c r="AA155" s="66"/>
      <c r="AB155" s="30"/>
      <c r="AC155" s="30"/>
      <c r="AD155" s="30"/>
      <c r="AE155" s="66"/>
      <c r="AF155" s="30"/>
      <c r="AG155" s="30"/>
      <c r="AH155" s="30"/>
      <c r="AI155" s="30"/>
      <c r="AJ155" s="30"/>
      <c r="AK155" s="30"/>
      <c r="AL155" s="30"/>
      <c r="AM155" s="30"/>
      <c r="AN155" s="30"/>
      <c r="AO155" s="5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</row>
    <row r="156" spans="1:61" ht="15.5" x14ac:dyDescent="0.3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57"/>
      <c r="Z156" s="30"/>
      <c r="AA156" s="66"/>
      <c r="AB156" s="30"/>
      <c r="AC156" s="30"/>
      <c r="AD156" s="30"/>
      <c r="AE156" s="66"/>
      <c r="AF156" s="30"/>
      <c r="AG156" s="30"/>
      <c r="AH156" s="30"/>
      <c r="AI156" s="30"/>
      <c r="AJ156" s="30"/>
      <c r="AK156" s="30"/>
      <c r="AL156" s="30"/>
      <c r="AM156" s="30"/>
      <c r="AN156" s="30"/>
      <c r="AO156" s="5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</row>
    <row r="157" spans="1:61" ht="15.5" x14ac:dyDescent="0.3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57"/>
      <c r="Z157" s="30"/>
      <c r="AA157" s="66"/>
      <c r="AB157" s="30"/>
      <c r="AC157" s="30"/>
      <c r="AD157" s="30"/>
      <c r="AE157" s="66"/>
      <c r="AF157" s="30"/>
      <c r="AG157" s="30"/>
      <c r="AH157" s="30"/>
      <c r="AI157" s="30"/>
      <c r="AJ157" s="30"/>
      <c r="AK157" s="30"/>
      <c r="AL157" s="30"/>
      <c r="AM157" s="30"/>
      <c r="AN157" s="30"/>
      <c r="AO157" s="5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</row>
    <row r="158" spans="1:61" ht="15.5" x14ac:dyDescent="0.3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57"/>
      <c r="Z158" s="30"/>
      <c r="AA158" s="66"/>
      <c r="AB158" s="30"/>
      <c r="AC158" s="30"/>
      <c r="AD158" s="30"/>
      <c r="AE158" s="66"/>
      <c r="AF158" s="30"/>
      <c r="AG158" s="30"/>
      <c r="AH158" s="30"/>
      <c r="AI158" s="30"/>
      <c r="AJ158" s="30"/>
      <c r="AK158" s="30"/>
      <c r="AL158" s="30"/>
      <c r="AM158" s="30"/>
      <c r="AN158" s="30"/>
      <c r="AO158" s="5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</row>
    <row r="159" spans="1:61" ht="15.5" x14ac:dyDescent="0.3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57"/>
      <c r="Z159" s="30"/>
      <c r="AA159" s="66"/>
      <c r="AB159" s="30"/>
      <c r="AC159" s="30"/>
      <c r="AD159" s="30"/>
      <c r="AE159" s="66"/>
      <c r="AF159" s="30"/>
      <c r="AG159" s="30"/>
      <c r="AH159" s="30"/>
      <c r="AI159" s="30"/>
      <c r="AJ159" s="30"/>
      <c r="AK159" s="30"/>
      <c r="AL159" s="30"/>
      <c r="AM159" s="30"/>
      <c r="AN159" s="30"/>
      <c r="AO159" s="5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</row>
    <row r="160" spans="1:61" ht="15.5" x14ac:dyDescent="0.3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57"/>
      <c r="Z160" s="30"/>
      <c r="AA160" s="66"/>
      <c r="AB160" s="30"/>
      <c r="AC160" s="30"/>
      <c r="AD160" s="30"/>
      <c r="AE160" s="66"/>
      <c r="AF160" s="30"/>
      <c r="AG160" s="30"/>
      <c r="AH160" s="30"/>
      <c r="AI160" s="30"/>
      <c r="AJ160" s="30"/>
      <c r="AK160" s="30"/>
      <c r="AL160" s="30"/>
      <c r="AM160" s="30"/>
      <c r="AN160" s="30"/>
      <c r="AO160" s="5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</row>
    <row r="161" spans="1:61" ht="15.5" x14ac:dyDescent="0.3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57"/>
      <c r="Z161" s="30"/>
      <c r="AA161" s="66"/>
      <c r="AB161" s="30"/>
      <c r="AC161" s="30"/>
      <c r="AD161" s="30"/>
      <c r="AE161" s="66"/>
      <c r="AF161" s="30"/>
      <c r="AG161" s="30"/>
      <c r="AH161" s="30"/>
      <c r="AI161" s="30"/>
      <c r="AJ161" s="30"/>
      <c r="AK161" s="30"/>
      <c r="AL161" s="30"/>
      <c r="AM161" s="30"/>
      <c r="AN161" s="30"/>
      <c r="AO161" s="5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</row>
    <row r="162" spans="1:61" ht="15.5" x14ac:dyDescent="0.3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57"/>
      <c r="Z162" s="30"/>
      <c r="AA162" s="66"/>
      <c r="AB162" s="30"/>
      <c r="AC162" s="30"/>
      <c r="AD162" s="30"/>
      <c r="AE162" s="66"/>
      <c r="AF162" s="30"/>
      <c r="AG162" s="30"/>
      <c r="AH162" s="30"/>
      <c r="AI162" s="30"/>
      <c r="AJ162" s="30"/>
      <c r="AK162" s="30"/>
      <c r="AL162" s="30"/>
      <c r="AM162" s="30"/>
      <c r="AN162" s="30"/>
      <c r="AO162" s="5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</row>
    <row r="163" spans="1:61" ht="15.5" x14ac:dyDescent="0.3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57"/>
      <c r="Z163" s="30"/>
      <c r="AA163" s="66"/>
      <c r="AB163" s="30"/>
      <c r="AC163" s="30"/>
      <c r="AD163" s="30"/>
      <c r="AE163" s="66"/>
      <c r="AF163" s="30"/>
      <c r="AG163" s="30"/>
      <c r="AH163" s="30"/>
      <c r="AI163" s="30"/>
      <c r="AJ163" s="30"/>
      <c r="AK163" s="30"/>
      <c r="AL163" s="30"/>
      <c r="AM163" s="30"/>
      <c r="AN163" s="30"/>
      <c r="AO163" s="5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</row>
    <row r="164" spans="1:61" ht="15.5" x14ac:dyDescent="0.3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57"/>
      <c r="Z164" s="30"/>
      <c r="AA164" s="66"/>
      <c r="AB164" s="30"/>
      <c r="AC164" s="30"/>
      <c r="AD164" s="30"/>
      <c r="AE164" s="66"/>
      <c r="AF164" s="30"/>
      <c r="AG164" s="30"/>
      <c r="AH164" s="30"/>
      <c r="AI164" s="30"/>
      <c r="AJ164" s="30"/>
      <c r="AK164" s="30"/>
      <c r="AL164" s="30"/>
      <c r="AM164" s="30"/>
      <c r="AN164" s="30"/>
      <c r="AO164" s="5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</row>
    <row r="165" spans="1:61" ht="15.5" x14ac:dyDescent="0.3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57"/>
      <c r="Z165" s="30"/>
      <c r="AA165" s="66"/>
      <c r="AB165" s="30"/>
      <c r="AC165" s="30"/>
      <c r="AD165" s="30"/>
      <c r="AE165" s="66"/>
      <c r="AF165" s="30"/>
      <c r="AG165" s="30"/>
      <c r="AH165" s="30"/>
      <c r="AI165" s="30"/>
      <c r="AJ165" s="30"/>
      <c r="AK165" s="30"/>
      <c r="AL165" s="30"/>
      <c r="AM165" s="30"/>
      <c r="AN165" s="30"/>
      <c r="AO165" s="5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</row>
    <row r="166" spans="1:61" ht="15.5" x14ac:dyDescent="0.3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57"/>
      <c r="Z166" s="30"/>
      <c r="AA166" s="66"/>
      <c r="AB166" s="30"/>
      <c r="AC166" s="30"/>
      <c r="AD166" s="30"/>
      <c r="AE166" s="66"/>
      <c r="AF166" s="30"/>
      <c r="AG166" s="30"/>
      <c r="AH166" s="30"/>
      <c r="AI166" s="30"/>
      <c r="AJ166" s="30"/>
      <c r="AK166" s="30"/>
      <c r="AL166" s="30"/>
      <c r="AM166" s="30"/>
      <c r="AN166" s="30"/>
      <c r="AO166" s="5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</row>
    <row r="167" spans="1:61" ht="15.5" x14ac:dyDescent="0.3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57"/>
      <c r="Z167" s="30"/>
      <c r="AA167" s="66"/>
      <c r="AB167" s="30"/>
      <c r="AC167" s="30"/>
      <c r="AD167" s="30"/>
      <c r="AE167" s="66"/>
      <c r="AF167" s="30"/>
      <c r="AG167" s="30"/>
      <c r="AH167" s="30"/>
      <c r="AI167" s="30"/>
      <c r="AJ167" s="30"/>
      <c r="AK167" s="30"/>
      <c r="AL167" s="30"/>
      <c r="AM167" s="30"/>
      <c r="AN167" s="30"/>
      <c r="AO167" s="5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</row>
    <row r="168" spans="1:61" ht="15.5" x14ac:dyDescent="0.3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57"/>
      <c r="Z168" s="30"/>
      <c r="AA168" s="66"/>
      <c r="AB168" s="30"/>
      <c r="AC168" s="30"/>
      <c r="AD168" s="30"/>
      <c r="AE168" s="66"/>
      <c r="AF168" s="30"/>
      <c r="AG168" s="30"/>
      <c r="AH168" s="30"/>
      <c r="AI168" s="30"/>
      <c r="AJ168" s="30"/>
      <c r="AK168" s="30"/>
      <c r="AL168" s="30"/>
      <c r="AM168" s="30"/>
      <c r="AN168" s="30"/>
      <c r="AO168" s="5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</row>
    <row r="169" spans="1:61" ht="15.5" x14ac:dyDescent="0.3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57"/>
      <c r="Z169" s="30"/>
      <c r="AA169" s="66"/>
      <c r="AB169" s="30"/>
      <c r="AC169" s="30"/>
      <c r="AD169" s="30"/>
      <c r="AE169" s="66"/>
      <c r="AF169" s="30"/>
      <c r="AG169" s="30"/>
      <c r="AH169" s="30"/>
      <c r="AI169" s="30"/>
      <c r="AJ169" s="30"/>
      <c r="AK169" s="30"/>
      <c r="AL169" s="30"/>
      <c r="AM169" s="30"/>
      <c r="AN169" s="30"/>
      <c r="AO169" s="5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</row>
    <row r="170" spans="1:61" ht="15.5" x14ac:dyDescent="0.3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57"/>
      <c r="Z170" s="30"/>
      <c r="AA170" s="66"/>
      <c r="AB170" s="30"/>
      <c r="AC170" s="30"/>
      <c r="AD170" s="30"/>
      <c r="AE170" s="66"/>
      <c r="AF170" s="30"/>
      <c r="AG170" s="30"/>
      <c r="AH170" s="30"/>
      <c r="AI170" s="30"/>
      <c r="AJ170" s="30"/>
      <c r="AK170" s="30"/>
      <c r="AL170" s="30"/>
      <c r="AM170" s="30"/>
      <c r="AN170" s="30"/>
      <c r="AO170" s="5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</row>
    <row r="171" spans="1:61" ht="15.5" x14ac:dyDescent="0.3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57"/>
      <c r="Z171" s="30"/>
      <c r="AA171" s="66"/>
      <c r="AB171" s="30"/>
      <c r="AC171" s="30"/>
      <c r="AD171" s="30"/>
      <c r="AE171" s="66"/>
      <c r="AF171" s="30"/>
      <c r="AG171" s="30"/>
      <c r="AH171" s="30"/>
      <c r="AI171" s="30"/>
      <c r="AJ171" s="30"/>
      <c r="AK171" s="30"/>
      <c r="AL171" s="30"/>
      <c r="AM171" s="30"/>
      <c r="AN171" s="30"/>
      <c r="AO171" s="5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</row>
    <row r="172" spans="1:61" ht="15.5" x14ac:dyDescent="0.3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57"/>
      <c r="Z172" s="30"/>
      <c r="AA172" s="66"/>
      <c r="AB172" s="30"/>
      <c r="AC172" s="30"/>
      <c r="AD172" s="30"/>
      <c r="AE172" s="66"/>
      <c r="AF172" s="30"/>
      <c r="AG172" s="30"/>
      <c r="AH172" s="30"/>
      <c r="AI172" s="30"/>
      <c r="AJ172" s="30"/>
      <c r="AK172" s="30"/>
      <c r="AL172" s="30"/>
      <c r="AM172" s="30"/>
      <c r="AN172" s="30"/>
      <c r="AO172" s="5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</row>
    <row r="173" spans="1:61" ht="15.5" x14ac:dyDescent="0.3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57"/>
      <c r="Z173" s="30"/>
      <c r="AA173" s="66"/>
      <c r="AB173" s="30"/>
      <c r="AC173" s="30"/>
      <c r="AD173" s="30"/>
      <c r="AE173" s="66"/>
      <c r="AF173" s="30"/>
      <c r="AG173" s="30"/>
      <c r="AH173" s="30"/>
      <c r="AI173" s="30"/>
      <c r="AJ173" s="30"/>
      <c r="AK173" s="30"/>
      <c r="AL173" s="30"/>
      <c r="AM173" s="30"/>
      <c r="AN173" s="30"/>
      <c r="AO173" s="5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</row>
    <row r="174" spans="1:61" ht="15.5" x14ac:dyDescent="0.3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57"/>
      <c r="Z174" s="30"/>
      <c r="AA174" s="66"/>
      <c r="AB174" s="30"/>
      <c r="AC174" s="30"/>
      <c r="AD174" s="30"/>
      <c r="AE174" s="66"/>
      <c r="AF174" s="30"/>
      <c r="AG174" s="30"/>
      <c r="AH174" s="30"/>
      <c r="AI174" s="30"/>
      <c r="AJ174" s="30"/>
      <c r="AK174" s="30"/>
      <c r="AL174" s="30"/>
      <c r="AM174" s="30"/>
      <c r="AN174" s="30"/>
      <c r="AO174" s="5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</row>
    <row r="175" spans="1:61" ht="15.5" x14ac:dyDescent="0.3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57"/>
      <c r="Z175" s="30"/>
      <c r="AA175" s="66"/>
      <c r="AB175" s="30"/>
      <c r="AC175" s="30"/>
      <c r="AD175" s="30"/>
      <c r="AE175" s="66"/>
      <c r="AF175" s="30"/>
      <c r="AG175" s="30"/>
      <c r="AH175" s="30"/>
      <c r="AI175" s="30"/>
      <c r="AJ175" s="30"/>
      <c r="AK175" s="30"/>
      <c r="AL175" s="30"/>
      <c r="AM175" s="30"/>
      <c r="AN175" s="30"/>
      <c r="AO175" s="5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</row>
    <row r="176" spans="1:61" ht="15.5" x14ac:dyDescent="0.3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57"/>
      <c r="Z176" s="30"/>
      <c r="AA176" s="66"/>
      <c r="AB176" s="30"/>
      <c r="AC176" s="30"/>
      <c r="AD176" s="30"/>
      <c r="AE176" s="66"/>
      <c r="AF176" s="30"/>
      <c r="AG176" s="30"/>
      <c r="AH176" s="30"/>
      <c r="AI176" s="30"/>
      <c r="AJ176" s="30"/>
      <c r="AK176" s="30"/>
      <c r="AL176" s="30"/>
      <c r="AM176" s="30"/>
      <c r="AN176" s="30"/>
      <c r="AO176" s="5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</row>
    <row r="177" spans="1:61" ht="15.5" x14ac:dyDescent="0.3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57"/>
      <c r="Z177" s="30"/>
      <c r="AA177" s="66"/>
      <c r="AB177" s="30"/>
      <c r="AC177" s="30"/>
      <c r="AD177" s="30"/>
      <c r="AE177" s="66"/>
      <c r="AF177" s="30"/>
      <c r="AG177" s="30"/>
      <c r="AH177" s="30"/>
      <c r="AI177" s="30"/>
      <c r="AJ177" s="30"/>
      <c r="AK177" s="30"/>
      <c r="AL177" s="30"/>
      <c r="AM177" s="30"/>
      <c r="AN177" s="30"/>
      <c r="AO177" s="5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</row>
    <row r="178" spans="1:61" ht="15.5" x14ac:dyDescent="0.3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57"/>
      <c r="Z178" s="30"/>
      <c r="AA178" s="66"/>
      <c r="AB178" s="30"/>
      <c r="AC178" s="30"/>
      <c r="AD178" s="30"/>
      <c r="AE178" s="66"/>
      <c r="AF178" s="30"/>
      <c r="AG178" s="30"/>
      <c r="AH178" s="30"/>
      <c r="AI178" s="30"/>
      <c r="AJ178" s="30"/>
      <c r="AK178" s="30"/>
      <c r="AL178" s="30"/>
      <c r="AM178" s="30"/>
      <c r="AN178" s="30"/>
      <c r="AO178" s="5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</row>
    <row r="179" spans="1:61" ht="15.5" x14ac:dyDescent="0.3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57"/>
      <c r="Z179" s="30"/>
      <c r="AA179" s="66"/>
      <c r="AB179" s="30"/>
      <c r="AC179" s="30"/>
      <c r="AD179" s="30"/>
      <c r="AE179" s="66"/>
      <c r="AF179" s="30"/>
      <c r="AG179" s="30"/>
      <c r="AH179" s="30"/>
      <c r="AI179" s="30"/>
      <c r="AJ179" s="30"/>
      <c r="AK179" s="30"/>
      <c r="AL179" s="30"/>
      <c r="AM179" s="30"/>
      <c r="AN179" s="30"/>
      <c r="AO179" s="5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</row>
    <row r="180" spans="1:61" ht="15.5" x14ac:dyDescent="0.3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57"/>
      <c r="Z180" s="30"/>
      <c r="AA180" s="66"/>
      <c r="AB180" s="30"/>
      <c r="AC180" s="30"/>
      <c r="AD180" s="30"/>
      <c r="AE180" s="66"/>
      <c r="AF180" s="30"/>
      <c r="AG180" s="30"/>
      <c r="AH180" s="30"/>
      <c r="AI180" s="30"/>
      <c r="AJ180" s="30"/>
      <c r="AK180" s="30"/>
      <c r="AL180" s="30"/>
      <c r="AM180" s="30"/>
      <c r="AN180" s="30"/>
      <c r="AO180" s="5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</row>
    <row r="181" spans="1:61" ht="15.5" x14ac:dyDescent="0.3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57"/>
      <c r="Z181" s="30"/>
      <c r="AA181" s="66"/>
      <c r="AB181" s="30"/>
      <c r="AC181" s="30"/>
      <c r="AD181" s="30"/>
      <c r="AE181" s="66"/>
      <c r="AF181" s="30"/>
      <c r="AG181" s="30"/>
      <c r="AH181" s="30"/>
      <c r="AI181" s="30"/>
      <c r="AJ181" s="30"/>
      <c r="AK181" s="30"/>
      <c r="AL181" s="30"/>
      <c r="AM181" s="30"/>
      <c r="AN181" s="30"/>
      <c r="AO181" s="5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</row>
    <row r="182" spans="1:61" ht="15.5" x14ac:dyDescent="0.3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57"/>
      <c r="Z182" s="30"/>
      <c r="AA182" s="66"/>
      <c r="AB182" s="30"/>
      <c r="AC182" s="30"/>
      <c r="AD182" s="30"/>
      <c r="AE182" s="66"/>
      <c r="AF182" s="30"/>
      <c r="AG182" s="30"/>
      <c r="AH182" s="30"/>
      <c r="AI182" s="30"/>
      <c r="AJ182" s="30"/>
      <c r="AK182" s="30"/>
      <c r="AL182" s="30"/>
      <c r="AM182" s="30"/>
      <c r="AN182" s="30"/>
      <c r="AO182" s="5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</row>
    <row r="183" spans="1:61" ht="15.5" x14ac:dyDescent="0.3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57"/>
      <c r="Z183" s="30"/>
      <c r="AA183" s="66"/>
      <c r="AB183" s="30"/>
      <c r="AC183" s="30"/>
      <c r="AD183" s="30"/>
      <c r="AE183" s="66"/>
      <c r="AF183" s="30"/>
      <c r="AG183" s="30"/>
      <c r="AH183" s="30"/>
      <c r="AI183" s="30"/>
      <c r="AJ183" s="30"/>
      <c r="AK183" s="30"/>
      <c r="AL183" s="30"/>
      <c r="AM183" s="30"/>
      <c r="AN183" s="30"/>
      <c r="AO183" s="5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</row>
    <row r="184" spans="1:61" ht="15.5" x14ac:dyDescent="0.3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57"/>
      <c r="Z184" s="30"/>
      <c r="AA184" s="66"/>
      <c r="AB184" s="30"/>
      <c r="AC184" s="30"/>
      <c r="AD184" s="30"/>
      <c r="AE184" s="66"/>
      <c r="AF184" s="30"/>
      <c r="AG184" s="30"/>
      <c r="AH184" s="30"/>
      <c r="AI184" s="30"/>
      <c r="AJ184" s="30"/>
      <c r="AK184" s="30"/>
      <c r="AL184" s="30"/>
      <c r="AM184" s="30"/>
      <c r="AN184" s="30"/>
      <c r="AO184" s="5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</row>
    <row r="185" spans="1:61" ht="15.5" x14ac:dyDescent="0.3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57"/>
      <c r="Z185" s="30"/>
      <c r="AA185" s="66"/>
      <c r="AB185" s="30"/>
      <c r="AC185" s="30"/>
      <c r="AD185" s="30"/>
      <c r="AE185" s="66"/>
      <c r="AF185" s="30"/>
      <c r="AG185" s="30"/>
      <c r="AH185" s="30"/>
      <c r="AI185" s="30"/>
      <c r="AJ185" s="30"/>
      <c r="AK185" s="30"/>
      <c r="AL185" s="30"/>
      <c r="AM185" s="30"/>
      <c r="AN185" s="30"/>
      <c r="AO185" s="5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</row>
    <row r="186" spans="1:61" ht="15.5" x14ac:dyDescent="0.3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57"/>
      <c r="Z186" s="30"/>
      <c r="AA186" s="66"/>
      <c r="AB186" s="30"/>
      <c r="AC186" s="30"/>
      <c r="AD186" s="30"/>
      <c r="AE186" s="66"/>
      <c r="AF186" s="30"/>
      <c r="AG186" s="30"/>
      <c r="AH186" s="30"/>
      <c r="AI186" s="30"/>
      <c r="AJ186" s="30"/>
      <c r="AK186" s="30"/>
      <c r="AL186" s="30"/>
      <c r="AM186" s="30"/>
      <c r="AN186" s="30"/>
      <c r="AO186" s="5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</row>
    <row r="187" spans="1:61" ht="15.5" x14ac:dyDescent="0.3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57"/>
      <c r="Z187" s="30"/>
      <c r="AA187" s="66"/>
      <c r="AB187" s="30"/>
      <c r="AC187" s="30"/>
      <c r="AD187" s="30"/>
      <c r="AE187" s="66"/>
      <c r="AF187" s="30"/>
      <c r="AG187" s="30"/>
      <c r="AH187" s="30"/>
      <c r="AI187" s="30"/>
      <c r="AJ187" s="30"/>
      <c r="AK187" s="30"/>
      <c r="AL187" s="30"/>
      <c r="AM187" s="30"/>
      <c r="AN187" s="30"/>
      <c r="AO187" s="5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</row>
    <row r="188" spans="1:61" ht="15.5" x14ac:dyDescent="0.3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57"/>
      <c r="Z188" s="30"/>
      <c r="AA188" s="66"/>
      <c r="AB188" s="30"/>
      <c r="AC188" s="30"/>
      <c r="AD188" s="30"/>
      <c r="AE188" s="66"/>
      <c r="AF188" s="30"/>
      <c r="AG188" s="30"/>
      <c r="AH188" s="30"/>
      <c r="AI188" s="30"/>
      <c r="AJ188" s="30"/>
      <c r="AK188" s="30"/>
      <c r="AL188" s="30"/>
      <c r="AM188" s="30"/>
      <c r="AN188" s="30"/>
      <c r="AO188" s="5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</row>
    <row r="189" spans="1:61" ht="15.5" x14ac:dyDescent="0.3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57"/>
      <c r="Z189" s="30"/>
      <c r="AA189" s="66"/>
      <c r="AB189" s="30"/>
      <c r="AC189" s="30"/>
      <c r="AD189" s="30"/>
      <c r="AE189" s="66"/>
      <c r="AF189" s="30"/>
      <c r="AG189" s="30"/>
      <c r="AH189" s="30"/>
      <c r="AI189" s="30"/>
      <c r="AJ189" s="30"/>
      <c r="AK189" s="30"/>
      <c r="AL189" s="30"/>
      <c r="AM189" s="30"/>
      <c r="AN189" s="30"/>
      <c r="AO189" s="5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</row>
    <row r="190" spans="1:61" ht="15.5" x14ac:dyDescent="0.3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57"/>
      <c r="Z190" s="30"/>
      <c r="AA190" s="66"/>
      <c r="AB190" s="30"/>
      <c r="AC190" s="30"/>
      <c r="AD190" s="30"/>
      <c r="AE190" s="66"/>
      <c r="AF190" s="30"/>
      <c r="AG190" s="30"/>
      <c r="AH190" s="30"/>
      <c r="AI190" s="30"/>
      <c r="AJ190" s="30"/>
      <c r="AK190" s="30"/>
      <c r="AL190" s="30"/>
      <c r="AM190" s="30"/>
      <c r="AN190" s="30"/>
      <c r="AO190" s="5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</row>
    <row r="191" spans="1:61" ht="15.5" x14ac:dyDescent="0.3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57"/>
      <c r="Z191" s="30"/>
      <c r="AA191" s="66"/>
      <c r="AB191" s="30"/>
      <c r="AC191" s="30"/>
      <c r="AD191" s="30"/>
      <c r="AE191" s="66"/>
      <c r="AF191" s="30"/>
      <c r="AG191" s="30"/>
      <c r="AH191" s="30"/>
      <c r="AI191" s="30"/>
      <c r="AJ191" s="30"/>
      <c r="AK191" s="30"/>
      <c r="AL191" s="30"/>
      <c r="AM191" s="30"/>
      <c r="AN191" s="30"/>
      <c r="AO191" s="5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</row>
    <row r="192" spans="1:61" ht="15.5" x14ac:dyDescent="0.3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57"/>
      <c r="Z192" s="30"/>
      <c r="AA192" s="66"/>
      <c r="AB192" s="30"/>
      <c r="AC192" s="30"/>
      <c r="AD192" s="30"/>
      <c r="AE192" s="66"/>
      <c r="AF192" s="30"/>
      <c r="AG192" s="30"/>
      <c r="AH192" s="30"/>
      <c r="AI192" s="30"/>
      <c r="AJ192" s="30"/>
      <c r="AK192" s="30"/>
      <c r="AL192" s="30"/>
      <c r="AM192" s="30"/>
      <c r="AN192" s="30"/>
      <c r="AO192" s="5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</row>
    <row r="193" spans="1:61" ht="15.5" x14ac:dyDescent="0.3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57"/>
      <c r="Z193" s="30"/>
      <c r="AA193" s="66"/>
      <c r="AB193" s="30"/>
      <c r="AC193" s="30"/>
      <c r="AD193" s="30"/>
      <c r="AE193" s="66"/>
      <c r="AF193" s="30"/>
      <c r="AG193" s="30"/>
      <c r="AH193" s="30"/>
      <c r="AI193" s="30"/>
      <c r="AJ193" s="30"/>
      <c r="AK193" s="30"/>
      <c r="AL193" s="30"/>
      <c r="AM193" s="30"/>
      <c r="AN193" s="30"/>
      <c r="AO193" s="5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</row>
    <row r="194" spans="1:61" ht="15.5" x14ac:dyDescent="0.3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57"/>
      <c r="Z194" s="30"/>
      <c r="AA194" s="66"/>
      <c r="AB194" s="30"/>
      <c r="AC194" s="30"/>
      <c r="AD194" s="30"/>
      <c r="AE194" s="66"/>
      <c r="AF194" s="30"/>
      <c r="AG194" s="30"/>
      <c r="AH194" s="30"/>
      <c r="AI194" s="30"/>
      <c r="AJ194" s="30"/>
      <c r="AK194" s="30"/>
      <c r="AL194" s="30"/>
      <c r="AM194" s="30"/>
      <c r="AN194" s="30"/>
      <c r="AO194" s="5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</row>
    <row r="195" spans="1:61" ht="15.5" x14ac:dyDescent="0.3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57"/>
      <c r="Z195" s="30"/>
      <c r="AA195" s="66"/>
      <c r="AB195" s="30"/>
      <c r="AC195" s="30"/>
      <c r="AD195" s="30"/>
      <c r="AE195" s="66"/>
      <c r="AF195" s="30"/>
      <c r="AG195" s="30"/>
      <c r="AH195" s="30"/>
      <c r="AI195" s="30"/>
      <c r="AJ195" s="30"/>
      <c r="AK195" s="30"/>
      <c r="AL195" s="30"/>
      <c r="AM195" s="30"/>
      <c r="AN195" s="30"/>
      <c r="AO195" s="5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</row>
    <row r="196" spans="1:61" ht="15.5" x14ac:dyDescent="0.3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57"/>
      <c r="Z196" s="30"/>
      <c r="AA196" s="66"/>
      <c r="AB196" s="30"/>
      <c r="AC196" s="30"/>
      <c r="AD196" s="30"/>
      <c r="AE196" s="66"/>
      <c r="AF196" s="30"/>
      <c r="AG196" s="30"/>
      <c r="AH196" s="30"/>
      <c r="AI196" s="30"/>
      <c r="AJ196" s="30"/>
      <c r="AK196" s="30"/>
      <c r="AL196" s="30"/>
      <c r="AM196" s="30"/>
      <c r="AN196" s="30"/>
      <c r="AO196" s="5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</row>
    <row r="197" spans="1:61" ht="15.5" x14ac:dyDescent="0.3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57"/>
      <c r="Z197" s="30"/>
      <c r="AA197" s="66"/>
      <c r="AB197" s="30"/>
      <c r="AC197" s="30"/>
      <c r="AD197" s="30"/>
      <c r="AE197" s="66"/>
      <c r="AF197" s="30"/>
      <c r="AG197" s="30"/>
      <c r="AH197" s="30"/>
      <c r="AI197" s="30"/>
      <c r="AJ197" s="30"/>
      <c r="AK197" s="30"/>
      <c r="AL197" s="30"/>
      <c r="AM197" s="30"/>
      <c r="AN197" s="30"/>
      <c r="AO197" s="5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</row>
    <row r="198" spans="1:61" ht="15.5" x14ac:dyDescent="0.3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57"/>
      <c r="Z198" s="30"/>
      <c r="AA198" s="66"/>
      <c r="AB198" s="30"/>
      <c r="AC198" s="30"/>
      <c r="AD198" s="30"/>
      <c r="AE198" s="66"/>
      <c r="AF198" s="30"/>
      <c r="AG198" s="30"/>
      <c r="AH198" s="30"/>
      <c r="AI198" s="30"/>
      <c r="AJ198" s="30"/>
      <c r="AK198" s="30"/>
      <c r="AL198" s="30"/>
      <c r="AM198" s="30"/>
      <c r="AN198" s="30"/>
      <c r="AO198" s="5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</row>
    <row r="199" spans="1:61" ht="15.5" x14ac:dyDescent="0.3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57"/>
      <c r="Z199" s="30"/>
      <c r="AA199" s="66"/>
      <c r="AB199" s="30"/>
      <c r="AC199" s="30"/>
      <c r="AD199" s="30"/>
      <c r="AE199" s="66"/>
      <c r="AF199" s="30"/>
      <c r="AG199" s="30"/>
      <c r="AH199" s="30"/>
      <c r="AI199" s="30"/>
      <c r="AJ199" s="30"/>
      <c r="AK199" s="30"/>
      <c r="AL199" s="30"/>
      <c r="AM199" s="30"/>
      <c r="AN199" s="30"/>
      <c r="AO199" s="5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</row>
    <row r="200" spans="1:61" ht="15.5" x14ac:dyDescent="0.3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57"/>
      <c r="Z200" s="30"/>
      <c r="AA200" s="66"/>
      <c r="AB200" s="30"/>
      <c r="AC200" s="30"/>
      <c r="AD200" s="30"/>
      <c r="AE200" s="66"/>
      <c r="AF200" s="30"/>
      <c r="AG200" s="30"/>
      <c r="AH200" s="30"/>
      <c r="AI200" s="30"/>
      <c r="AJ200" s="30"/>
      <c r="AK200" s="30"/>
      <c r="AL200" s="30"/>
      <c r="AM200" s="30"/>
      <c r="AN200" s="30"/>
      <c r="AO200" s="5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</row>
    <row r="201" spans="1:61" ht="15.5" x14ac:dyDescent="0.3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57"/>
      <c r="Z201" s="30"/>
      <c r="AA201" s="66"/>
      <c r="AB201" s="30"/>
      <c r="AC201" s="30"/>
      <c r="AD201" s="30"/>
      <c r="AE201" s="66"/>
      <c r="AF201" s="30"/>
      <c r="AG201" s="30"/>
      <c r="AH201" s="30"/>
      <c r="AI201" s="30"/>
      <c r="AJ201" s="30"/>
      <c r="AK201" s="30"/>
      <c r="AL201" s="30"/>
      <c r="AM201" s="30"/>
      <c r="AN201" s="30"/>
      <c r="AO201" s="5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</row>
    <row r="202" spans="1:61" ht="15.5" x14ac:dyDescent="0.3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57"/>
      <c r="Z202" s="30"/>
      <c r="AA202" s="66"/>
      <c r="AB202" s="30"/>
      <c r="AC202" s="30"/>
      <c r="AD202" s="30"/>
      <c r="AE202" s="66"/>
      <c r="AF202" s="30"/>
      <c r="AG202" s="30"/>
      <c r="AH202" s="30"/>
      <c r="AI202" s="30"/>
      <c r="AJ202" s="30"/>
      <c r="AK202" s="30"/>
      <c r="AL202" s="30"/>
      <c r="AM202" s="30"/>
      <c r="AN202" s="30"/>
      <c r="AO202" s="5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</row>
    <row r="203" spans="1:61" ht="15.5" x14ac:dyDescent="0.3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57"/>
      <c r="Z203" s="30"/>
      <c r="AA203" s="66"/>
      <c r="AB203" s="30"/>
      <c r="AC203" s="30"/>
      <c r="AD203" s="30"/>
      <c r="AE203" s="66"/>
      <c r="AF203" s="30"/>
      <c r="AG203" s="30"/>
      <c r="AH203" s="30"/>
      <c r="AI203" s="30"/>
      <c r="AJ203" s="30"/>
      <c r="AK203" s="30"/>
      <c r="AL203" s="30"/>
      <c r="AM203" s="30"/>
      <c r="AN203" s="30"/>
      <c r="AO203" s="5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</row>
    <row r="204" spans="1:61" ht="15.5" x14ac:dyDescent="0.3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57"/>
      <c r="Z204" s="30"/>
      <c r="AA204" s="66"/>
      <c r="AB204" s="30"/>
      <c r="AC204" s="30"/>
      <c r="AD204" s="30"/>
      <c r="AE204" s="66"/>
      <c r="AF204" s="30"/>
      <c r="AG204" s="30"/>
      <c r="AH204" s="30"/>
      <c r="AI204" s="30"/>
      <c r="AJ204" s="30"/>
      <c r="AK204" s="30"/>
      <c r="AL204" s="30"/>
      <c r="AM204" s="30"/>
      <c r="AN204" s="30"/>
      <c r="AO204" s="5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</row>
    <row r="205" spans="1:61" ht="15.5" x14ac:dyDescent="0.3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57"/>
      <c r="Z205" s="30"/>
      <c r="AA205" s="66"/>
      <c r="AB205" s="30"/>
      <c r="AC205" s="30"/>
      <c r="AD205" s="30"/>
      <c r="AE205" s="66"/>
      <c r="AF205" s="30"/>
      <c r="AG205" s="30"/>
      <c r="AH205" s="30"/>
      <c r="AI205" s="30"/>
      <c r="AJ205" s="30"/>
      <c r="AK205" s="30"/>
      <c r="AL205" s="30"/>
      <c r="AM205" s="30"/>
      <c r="AN205" s="30"/>
      <c r="AO205" s="5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</row>
    <row r="206" spans="1:61" ht="15.5" x14ac:dyDescent="0.3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57"/>
      <c r="Z206" s="30"/>
      <c r="AA206" s="66"/>
      <c r="AB206" s="30"/>
      <c r="AC206" s="30"/>
      <c r="AD206" s="30"/>
      <c r="AE206" s="66"/>
      <c r="AF206" s="30"/>
      <c r="AG206" s="30"/>
      <c r="AH206" s="30"/>
      <c r="AI206" s="30"/>
      <c r="AJ206" s="30"/>
      <c r="AK206" s="30"/>
      <c r="AL206" s="30"/>
      <c r="AM206" s="30"/>
      <c r="AN206" s="30"/>
      <c r="AO206" s="5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</row>
    <row r="207" spans="1:61" ht="15.5" x14ac:dyDescent="0.3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57"/>
      <c r="Z207" s="30"/>
      <c r="AA207" s="66"/>
      <c r="AB207" s="30"/>
      <c r="AC207" s="30"/>
      <c r="AD207" s="30"/>
      <c r="AE207" s="66"/>
      <c r="AF207" s="30"/>
      <c r="AG207" s="30"/>
      <c r="AH207" s="30"/>
      <c r="AI207" s="30"/>
      <c r="AJ207" s="30"/>
      <c r="AK207" s="30"/>
      <c r="AL207" s="30"/>
      <c r="AM207" s="30"/>
      <c r="AN207" s="30"/>
      <c r="AO207" s="5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</row>
    <row r="208" spans="1:61" ht="15.5" x14ac:dyDescent="0.3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57"/>
      <c r="Z208" s="30"/>
      <c r="AA208" s="66"/>
      <c r="AB208" s="30"/>
      <c r="AC208" s="30"/>
      <c r="AD208" s="30"/>
      <c r="AE208" s="66"/>
      <c r="AF208" s="30"/>
      <c r="AG208" s="30"/>
      <c r="AH208" s="30"/>
      <c r="AI208" s="30"/>
      <c r="AJ208" s="30"/>
      <c r="AK208" s="30"/>
      <c r="AL208" s="30"/>
      <c r="AM208" s="30"/>
      <c r="AN208" s="30"/>
      <c r="AO208" s="5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</row>
    <row r="209" spans="1:61" ht="15.5" x14ac:dyDescent="0.3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57"/>
      <c r="Z209" s="30"/>
      <c r="AA209" s="66"/>
      <c r="AB209" s="30"/>
      <c r="AC209" s="30"/>
      <c r="AD209" s="30"/>
      <c r="AE209" s="66"/>
      <c r="AF209" s="30"/>
      <c r="AG209" s="30"/>
      <c r="AH209" s="30"/>
      <c r="AI209" s="30"/>
      <c r="AJ209" s="30"/>
      <c r="AK209" s="30"/>
      <c r="AL209" s="30"/>
      <c r="AM209" s="30"/>
      <c r="AN209" s="30"/>
      <c r="AO209" s="5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</row>
    <row r="210" spans="1:61" ht="15.5" x14ac:dyDescent="0.3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57"/>
      <c r="Z210" s="30"/>
      <c r="AA210" s="66"/>
      <c r="AB210" s="30"/>
      <c r="AC210" s="30"/>
      <c r="AD210" s="30"/>
      <c r="AE210" s="66"/>
      <c r="AF210" s="30"/>
      <c r="AG210" s="30"/>
      <c r="AH210" s="30"/>
      <c r="AI210" s="30"/>
      <c r="AJ210" s="30"/>
      <c r="AK210" s="30"/>
      <c r="AL210" s="30"/>
      <c r="AM210" s="30"/>
      <c r="AN210" s="30"/>
      <c r="AO210" s="5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</row>
    <row r="211" spans="1:61" ht="15.5" x14ac:dyDescent="0.3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57"/>
      <c r="Z211" s="30"/>
      <c r="AA211" s="66"/>
      <c r="AB211" s="30"/>
      <c r="AC211" s="30"/>
      <c r="AD211" s="30"/>
      <c r="AE211" s="66"/>
      <c r="AF211" s="30"/>
      <c r="AG211" s="30"/>
      <c r="AH211" s="30"/>
      <c r="AI211" s="30"/>
      <c r="AJ211" s="30"/>
      <c r="AK211" s="30"/>
      <c r="AL211" s="30"/>
      <c r="AM211" s="30"/>
      <c r="AN211" s="30"/>
      <c r="AO211" s="5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</row>
    <row r="212" spans="1:61" ht="15.5" x14ac:dyDescent="0.3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57"/>
      <c r="Z212" s="30"/>
      <c r="AA212" s="66"/>
      <c r="AB212" s="30"/>
      <c r="AC212" s="30"/>
      <c r="AD212" s="30"/>
      <c r="AE212" s="66"/>
      <c r="AF212" s="30"/>
      <c r="AG212" s="30"/>
      <c r="AH212" s="30"/>
      <c r="AI212" s="30"/>
      <c r="AJ212" s="30"/>
      <c r="AK212" s="30"/>
      <c r="AL212" s="30"/>
      <c r="AM212" s="30"/>
      <c r="AN212" s="30"/>
      <c r="AO212" s="5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</row>
    <row r="213" spans="1:61" ht="15.5" x14ac:dyDescent="0.3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57"/>
      <c r="Z213" s="30"/>
      <c r="AA213" s="66"/>
      <c r="AB213" s="30"/>
      <c r="AC213" s="30"/>
      <c r="AD213" s="30"/>
      <c r="AE213" s="66"/>
      <c r="AF213" s="30"/>
      <c r="AG213" s="30"/>
      <c r="AH213" s="30"/>
      <c r="AI213" s="30"/>
      <c r="AJ213" s="30"/>
      <c r="AK213" s="30"/>
      <c r="AL213" s="30"/>
      <c r="AM213" s="30"/>
      <c r="AN213" s="30"/>
      <c r="AO213" s="5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</row>
    <row r="214" spans="1:61" ht="15.5" x14ac:dyDescent="0.3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57"/>
      <c r="Z214" s="30"/>
      <c r="AA214" s="66"/>
      <c r="AB214" s="30"/>
      <c r="AC214" s="30"/>
      <c r="AD214" s="30"/>
      <c r="AE214" s="66"/>
      <c r="AF214" s="30"/>
      <c r="AG214" s="30"/>
      <c r="AH214" s="30"/>
      <c r="AI214" s="30"/>
      <c r="AJ214" s="30"/>
      <c r="AK214" s="30"/>
      <c r="AL214" s="30"/>
      <c r="AM214" s="30"/>
      <c r="AN214" s="30"/>
      <c r="AO214" s="5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</row>
    <row r="215" spans="1:61" ht="15.5" x14ac:dyDescent="0.3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57"/>
      <c r="Z215" s="30"/>
      <c r="AA215" s="66"/>
      <c r="AB215" s="30"/>
      <c r="AC215" s="30"/>
      <c r="AD215" s="30"/>
      <c r="AE215" s="66"/>
      <c r="AF215" s="30"/>
      <c r="AG215" s="30"/>
      <c r="AH215" s="30"/>
      <c r="AI215" s="30"/>
      <c r="AJ215" s="30"/>
      <c r="AK215" s="30"/>
      <c r="AL215" s="30"/>
      <c r="AM215" s="30"/>
      <c r="AN215" s="30"/>
      <c r="AO215" s="5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</row>
    <row r="216" spans="1:61" ht="15.5" x14ac:dyDescent="0.3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57"/>
      <c r="Z216" s="30"/>
      <c r="AA216" s="66"/>
      <c r="AB216" s="30"/>
      <c r="AC216" s="30"/>
      <c r="AD216" s="30"/>
      <c r="AE216" s="66"/>
      <c r="AF216" s="30"/>
      <c r="AG216" s="30"/>
      <c r="AH216" s="30"/>
      <c r="AI216" s="30"/>
      <c r="AJ216" s="30"/>
      <c r="AK216" s="30"/>
      <c r="AL216" s="30"/>
      <c r="AM216" s="30"/>
      <c r="AN216" s="30"/>
      <c r="AO216" s="5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</row>
    <row r="217" spans="1:61" ht="15.5" x14ac:dyDescent="0.3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57"/>
      <c r="Z217" s="30"/>
      <c r="AA217" s="66"/>
      <c r="AB217" s="30"/>
      <c r="AC217" s="30"/>
      <c r="AD217" s="30"/>
      <c r="AE217" s="66"/>
      <c r="AF217" s="30"/>
      <c r="AG217" s="30"/>
      <c r="AH217" s="30"/>
      <c r="AI217" s="30"/>
      <c r="AJ217" s="30"/>
      <c r="AK217" s="30"/>
      <c r="AL217" s="30"/>
      <c r="AM217" s="30"/>
      <c r="AN217" s="30"/>
      <c r="AO217" s="5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</row>
    <row r="218" spans="1:61" ht="15.5" x14ac:dyDescent="0.3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57"/>
      <c r="Z218" s="30"/>
      <c r="AA218" s="66"/>
      <c r="AB218" s="30"/>
      <c r="AC218" s="30"/>
      <c r="AD218" s="30"/>
      <c r="AE218" s="66"/>
      <c r="AF218" s="30"/>
      <c r="AG218" s="30"/>
      <c r="AH218" s="30"/>
      <c r="AI218" s="30"/>
      <c r="AJ218" s="30"/>
      <c r="AK218" s="30"/>
      <c r="AL218" s="30"/>
      <c r="AM218" s="30"/>
      <c r="AN218" s="30"/>
      <c r="AO218" s="5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</row>
    <row r="219" spans="1:61" ht="15.5" x14ac:dyDescent="0.3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57"/>
      <c r="Z219" s="30"/>
      <c r="AA219" s="66"/>
      <c r="AB219" s="30"/>
      <c r="AC219" s="30"/>
      <c r="AD219" s="30"/>
      <c r="AE219" s="66"/>
      <c r="AF219" s="30"/>
      <c r="AG219" s="30"/>
      <c r="AH219" s="30"/>
      <c r="AI219" s="30"/>
      <c r="AJ219" s="30"/>
      <c r="AK219" s="30"/>
      <c r="AL219" s="30"/>
      <c r="AM219" s="30"/>
      <c r="AN219" s="30"/>
      <c r="AO219" s="5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</row>
    <row r="220" spans="1:61" ht="15.5" x14ac:dyDescent="0.3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57"/>
      <c r="Z220" s="30"/>
      <c r="AA220" s="66"/>
      <c r="AB220" s="30"/>
      <c r="AC220" s="30"/>
      <c r="AD220" s="30"/>
      <c r="AE220" s="66"/>
      <c r="AF220" s="30"/>
      <c r="AG220" s="30"/>
      <c r="AH220" s="30"/>
      <c r="AI220" s="30"/>
      <c r="AJ220" s="30"/>
      <c r="AK220" s="30"/>
      <c r="AL220" s="30"/>
      <c r="AM220" s="30"/>
      <c r="AN220" s="30"/>
      <c r="AO220" s="5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</row>
    <row r="221" spans="1:61" ht="15.5" x14ac:dyDescent="0.35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57"/>
      <c r="Z221" s="30"/>
      <c r="AA221" s="66"/>
      <c r="AB221" s="30"/>
      <c r="AC221" s="30"/>
      <c r="AD221" s="30"/>
      <c r="AE221" s="66"/>
      <c r="AF221" s="30"/>
      <c r="AG221" s="30"/>
      <c r="AH221" s="30"/>
      <c r="AI221" s="30"/>
      <c r="AJ221" s="30"/>
      <c r="AK221" s="30"/>
      <c r="AL221" s="30"/>
      <c r="AM221" s="30"/>
      <c r="AN221" s="30"/>
      <c r="AO221" s="5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</row>
    <row r="222" spans="1:61" ht="15.5" x14ac:dyDescent="0.3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57"/>
      <c r="Z222" s="30"/>
      <c r="AA222" s="66"/>
      <c r="AB222" s="30"/>
      <c r="AC222" s="30"/>
      <c r="AD222" s="30"/>
      <c r="AE222" s="66"/>
      <c r="AF222" s="30"/>
      <c r="AG222" s="30"/>
      <c r="AH222" s="30"/>
      <c r="AI222" s="30"/>
      <c r="AJ222" s="30"/>
      <c r="AK222" s="30"/>
      <c r="AL222" s="30"/>
      <c r="AM222" s="30"/>
      <c r="AN222" s="30"/>
      <c r="AO222" s="5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</row>
    <row r="223" spans="1:61" ht="15.5" x14ac:dyDescent="0.35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57"/>
      <c r="Z223" s="30"/>
      <c r="AA223" s="66"/>
      <c r="AB223" s="30"/>
      <c r="AC223" s="30"/>
      <c r="AD223" s="30"/>
      <c r="AE223" s="66"/>
      <c r="AF223" s="30"/>
      <c r="AG223" s="30"/>
      <c r="AH223" s="30"/>
      <c r="AI223" s="30"/>
      <c r="AJ223" s="30"/>
      <c r="AK223" s="30"/>
      <c r="AL223" s="30"/>
      <c r="AM223" s="30"/>
      <c r="AN223" s="30"/>
      <c r="AO223" s="5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</row>
    <row r="224" spans="1:61" ht="15.5" x14ac:dyDescent="0.3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57"/>
      <c r="Z224" s="30"/>
      <c r="AA224" s="66"/>
      <c r="AB224" s="30"/>
      <c r="AC224" s="30"/>
      <c r="AD224" s="30"/>
      <c r="AE224" s="66"/>
      <c r="AF224" s="30"/>
      <c r="AG224" s="30"/>
      <c r="AH224" s="30"/>
      <c r="AI224" s="30"/>
      <c r="AJ224" s="30"/>
      <c r="AK224" s="30"/>
      <c r="AL224" s="30"/>
      <c r="AM224" s="30"/>
      <c r="AN224" s="30"/>
      <c r="AO224" s="5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</row>
    <row r="225" spans="1:61" ht="15.5" x14ac:dyDescent="0.3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57"/>
      <c r="Z225" s="30"/>
      <c r="AA225" s="66"/>
      <c r="AB225" s="30"/>
      <c r="AC225" s="30"/>
      <c r="AD225" s="30"/>
      <c r="AE225" s="66"/>
      <c r="AF225" s="30"/>
      <c r="AG225" s="30"/>
      <c r="AH225" s="30"/>
      <c r="AI225" s="30"/>
      <c r="AJ225" s="30"/>
      <c r="AK225" s="30"/>
      <c r="AL225" s="30"/>
      <c r="AM225" s="30"/>
      <c r="AN225" s="30"/>
      <c r="AO225" s="5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</row>
    <row r="226" spans="1:61" ht="15.5" x14ac:dyDescent="0.3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57"/>
      <c r="Z226" s="30"/>
      <c r="AA226" s="66"/>
      <c r="AB226" s="30"/>
      <c r="AC226" s="30"/>
      <c r="AD226" s="30"/>
      <c r="AE226" s="66"/>
      <c r="AF226" s="30"/>
      <c r="AG226" s="30"/>
      <c r="AH226" s="30"/>
      <c r="AI226" s="30"/>
      <c r="AJ226" s="30"/>
      <c r="AK226" s="30"/>
      <c r="AL226" s="30"/>
      <c r="AM226" s="30"/>
      <c r="AN226" s="30"/>
      <c r="AO226" s="5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</row>
    <row r="227" spans="1:61" ht="15.5" x14ac:dyDescent="0.3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57"/>
      <c r="Z227" s="30"/>
      <c r="AA227" s="66"/>
      <c r="AB227" s="30"/>
      <c r="AC227" s="30"/>
      <c r="AD227" s="30"/>
      <c r="AE227" s="66"/>
      <c r="AF227" s="30"/>
      <c r="AG227" s="30"/>
      <c r="AH227" s="30"/>
      <c r="AI227" s="30"/>
      <c r="AJ227" s="30"/>
      <c r="AK227" s="30"/>
      <c r="AL227" s="30"/>
      <c r="AM227" s="30"/>
      <c r="AN227" s="30"/>
      <c r="AO227" s="5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</row>
    <row r="228" spans="1:61" ht="15.5" x14ac:dyDescent="0.3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57"/>
      <c r="Z228" s="30"/>
      <c r="AA228" s="66"/>
      <c r="AB228" s="30"/>
      <c r="AC228" s="30"/>
      <c r="AD228" s="30"/>
      <c r="AE228" s="66"/>
      <c r="AF228" s="30"/>
      <c r="AG228" s="30"/>
      <c r="AH228" s="30"/>
      <c r="AI228" s="30"/>
      <c r="AJ228" s="30"/>
      <c r="AK228" s="30"/>
      <c r="AL228" s="30"/>
      <c r="AM228" s="30"/>
      <c r="AN228" s="30"/>
      <c r="AO228" s="5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</row>
    <row r="229" spans="1:61" ht="15.5" x14ac:dyDescent="0.35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57"/>
      <c r="Z229" s="30"/>
      <c r="AA229" s="66"/>
      <c r="AB229" s="30"/>
      <c r="AC229" s="30"/>
      <c r="AD229" s="30"/>
      <c r="AE229" s="66"/>
      <c r="AF229" s="30"/>
      <c r="AG229" s="30"/>
      <c r="AH229" s="30"/>
      <c r="AI229" s="30"/>
      <c r="AJ229" s="30"/>
      <c r="AK229" s="30"/>
      <c r="AL229" s="30"/>
      <c r="AM229" s="30"/>
      <c r="AN229" s="30"/>
      <c r="AO229" s="5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</row>
    <row r="230" spans="1:61" ht="15.5" x14ac:dyDescent="0.3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57"/>
      <c r="Z230" s="30"/>
      <c r="AA230" s="66"/>
      <c r="AB230" s="30"/>
      <c r="AC230" s="30"/>
      <c r="AD230" s="30"/>
      <c r="AE230" s="66"/>
      <c r="AF230" s="30"/>
      <c r="AG230" s="30"/>
      <c r="AH230" s="30"/>
      <c r="AI230" s="30"/>
      <c r="AJ230" s="30"/>
      <c r="AK230" s="30"/>
      <c r="AL230" s="30"/>
      <c r="AM230" s="30"/>
      <c r="AN230" s="30"/>
      <c r="AO230" s="5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</row>
    <row r="231" spans="1:61" ht="15.5" x14ac:dyDescent="0.3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57"/>
      <c r="Z231" s="30"/>
      <c r="AA231" s="66"/>
      <c r="AB231" s="30"/>
      <c r="AC231" s="30"/>
      <c r="AD231" s="30"/>
      <c r="AE231" s="66"/>
      <c r="AF231" s="30"/>
      <c r="AG231" s="30"/>
      <c r="AH231" s="30"/>
      <c r="AI231" s="30"/>
      <c r="AJ231" s="30"/>
      <c r="AK231" s="30"/>
      <c r="AL231" s="30"/>
      <c r="AM231" s="30"/>
      <c r="AN231" s="30"/>
      <c r="AO231" s="5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</row>
    <row r="232" spans="1:61" ht="15.5" x14ac:dyDescent="0.3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57"/>
      <c r="Z232" s="30"/>
      <c r="AA232" s="66"/>
      <c r="AB232" s="30"/>
      <c r="AC232" s="30"/>
      <c r="AD232" s="30"/>
      <c r="AE232" s="66"/>
      <c r="AF232" s="30"/>
      <c r="AG232" s="30"/>
      <c r="AH232" s="30"/>
      <c r="AI232" s="30"/>
      <c r="AJ232" s="30"/>
      <c r="AK232" s="30"/>
      <c r="AL232" s="30"/>
      <c r="AM232" s="30"/>
      <c r="AN232" s="30"/>
      <c r="AO232" s="5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</row>
    <row r="233" spans="1:61" ht="15.5" x14ac:dyDescent="0.35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57"/>
      <c r="Z233" s="30"/>
      <c r="AA233" s="66"/>
      <c r="AB233" s="30"/>
      <c r="AC233" s="30"/>
      <c r="AD233" s="30"/>
      <c r="AE233" s="66"/>
      <c r="AF233" s="30"/>
      <c r="AG233" s="30"/>
      <c r="AH233" s="30"/>
      <c r="AI233" s="30"/>
      <c r="AJ233" s="30"/>
      <c r="AK233" s="30"/>
      <c r="AL233" s="30"/>
      <c r="AM233" s="30"/>
      <c r="AN233" s="30"/>
      <c r="AO233" s="5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</row>
    <row r="234" spans="1:61" ht="15.5" x14ac:dyDescent="0.3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57"/>
      <c r="Z234" s="30"/>
      <c r="AA234" s="66"/>
      <c r="AB234" s="30"/>
      <c r="AC234" s="30"/>
      <c r="AD234" s="30"/>
      <c r="AE234" s="66"/>
      <c r="AF234" s="30"/>
      <c r="AG234" s="30"/>
      <c r="AH234" s="30"/>
      <c r="AI234" s="30"/>
      <c r="AJ234" s="30"/>
      <c r="AK234" s="30"/>
      <c r="AL234" s="30"/>
      <c r="AM234" s="30"/>
      <c r="AN234" s="30"/>
      <c r="AO234" s="5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</row>
    <row r="235" spans="1:61" ht="15.5" x14ac:dyDescent="0.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57"/>
      <c r="Z235" s="30"/>
      <c r="AA235" s="66"/>
      <c r="AB235" s="30"/>
      <c r="AC235" s="30"/>
      <c r="AD235" s="30"/>
      <c r="AE235" s="66"/>
      <c r="AF235" s="30"/>
      <c r="AG235" s="30"/>
      <c r="AH235" s="30"/>
      <c r="AI235" s="30"/>
      <c r="AJ235" s="30"/>
      <c r="AK235" s="30"/>
      <c r="AL235" s="30"/>
      <c r="AM235" s="30"/>
      <c r="AN235" s="30"/>
      <c r="AO235" s="5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</row>
    <row r="236" spans="1:61" ht="15.5" x14ac:dyDescent="0.3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57"/>
      <c r="Z236" s="30"/>
      <c r="AA236" s="66"/>
      <c r="AB236" s="30"/>
      <c r="AC236" s="30"/>
      <c r="AD236" s="30"/>
      <c r="AE236" s="66"/>
      <c r="AF236" s="30"/>
      <c r="AG236" s="30"/>
      <c r="AH236" s="30"/>
      <c r="AI236" s="30"/>
      <c r="AJ236" s="30"/>
      <c r="AK236" s="30"/>
      <c r="AL236" s="30"/>
      <c r="AM236" s="30"/>
      <c r="AN236" s="30"/>
      <c r="AO236" s="5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</row>
    <row r="237" spans="1:61" ht="15.5" x14ac:dyDescent="0.35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57"/>
      <c r="Z237" s="30"/>
      <c r="AA237" s="66"/>
      <c r="AB237" s="30"/>
      <c r="AC237" s="30"/>
      <c r="AD237" s="30"/>
      <c r="AE237" s="66"/>
      <c r="AF237" s="30"/>
      <c r="AG237" s="30"/>
      <c r="AH237" s="30"/>
      <c r="AI237" s="30"/>
      <c r="AJ237" s="30"/>
      <c r="AK237" s="30"/>
      <c r="AL237" s="30"/>
      <c r="AM237" s="30"/>
      <c r="AN237" s="30"/>
      <c r="AO237" s="5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</row>
    <row r="238" spans="1:61" ht="15.5" x14ac:dyDescent="0.3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57"/>
      <c r="Z238" s="30"/>
      <c r="AA238" s="66"/>
      <c r="AB238" s="30"/>
      <c r="AC238" s="30"/>
      <c r="AD238" s="30"/>
      <c r="AE238" s="66"/>
      <c r="AF238" s="30"/>
      <c r="AG238" s="30"/>
      <c r="AH238" s="30"/>
      <c r="AI238" s="30"/>
      <c r="AJ238" s="30"/>
      <c r="AK238" s="30"/>
      <c r="AL238" s="30"/>
      <c r="AM238" s="30"/>
      <c r="AN238" s="30"/>
      <c r="AO238" s="5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</row>
    <row r="239" spans="1:61" ht="15.5" x14ac:dyDescent="0.3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57"/>
      <c r="Z239" s="30"/>
      <c r="AA239" s="66"/>
      <c r="AB239" s="30"/>
      <c r="AC239" s="30"/>
      <c r="AD239" s="30"/>
      <c r="AE239" s="66"/>
      <c r="AF239" s="30"/>
      <c r="AG239" s="30"/>
      <c r="AH239" s="30"/>
      <c r="AI239" s="30"/>
      <c r="AJ239" s="30"/>
      <c r="AK239" s="30"/>
      <c r="AL239" s="30"/>
      <c r="AM239" s="30"/>
      <c r="AN239" s="30"/>
      <c r="AO239" s="5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</row>
    <row r="240" spans="1:61" ht="15.5" x14ac:dyDescent="0.3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57"/>
      <c r="Z240" s="30"/>
      <c r="AA240" s="66"/>
      <c r="AB240" s="30"/>
      <c r="AC240" s="30"/>
      <c r="AD240" s="30"/>
      <c r="AE240" s="66"/>
      <c r="AF240" s="30"/>
      <c r="AG240" s="30"/>
      <c r="AH240" s="30"/>
      <c r="AI240" s="30"/>
      <c r="AJ240" s="30"/>
      <c r="AK240" s="30"/>
      <c r="AL240" s="30"/>
      <c r="AM240" s="30"/>
      <c r="AN240" s="30"/>
      <c r="AO240" s="5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</row>
    <row r="241" spans="1:61" ht="15.5" x14ac:dyDescent="0.3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57"/>
      <c r="Z241" s="30"/>
      <c r="AA241" s="66"/>
      <c r="AB241" s="30"/>
      <c r="AC241" s="30"/>
      <c r="AD241" s="30"/>
      <c r="AE241" s="66"/>
      <c r="AF241" s="30"/>
      <c r="AG241" s="30"/>
      <c r="AH241" s="30"/>
      <c r="AI241" s="30"/>
      <c r="AJ241" s="30"/>
      <c r="AK241" s="30"/>
      <c r="AL241" s="30"/>
      <c r="AM241" s="30"/>
      <c r="AN241" s="30"/>
      <c r="AO241" s="5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</row>
    <row r="242" spans="1:61" ht="15.5" x14ac:dyDescent="0.3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57"/>
      <c r="Z242" s="30"/>
      <c r="AA242" s="66"/>
      <c r="AB242" s="30"/>
      <c r="AC242" s="30"/>
      <c r="AD242" s="30"/>
      <c r="AE242" s="66"/>
      <c r="AF242" s="30"/>
      <c r="AG242" s="30"/>
      <c r="AH242" s="30"/>
      <c r="AI242" s="30"/>
      <c r="AJ242" s="30"/>
      <c r="AK242" s="30"/>
      <c r="AL242" s="30"/>
      <c r="AM242" s="30"/>
      <c r="AN242" s="30"/>
      <c r="AO242" s="5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</row>
    <row r="243" spans="1:61" ht="15.5" x14ac:dyDescent="0.35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57"/>
      <c r="Z243" s="30"/>
      <c r="AA243" s="66"/>
      <c r="AB243" s="30"/>
      <c r="AC243" s="30"/>
      <c r="AD243" s="30"/>
      <c r="AE243" s="66"/>
      <c r="AF243" s="30"/>
      <c r="AG243" s="30"/>
      <c r="AH243" s="30"/>
      <c r="AI243" s="30"/>
      <c r="AJ243" s="30"/>
      <c r="AK243" s="30"/>
      <c r="AL243" s="30"/>
      <c r="AM243" s="30"/>
      <c r="AN243" s="30"/>
      <c r="AO243" s="5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</row>
    <row r="244" spans="1:61" ht="15.5" x14ac:dyDescent="0.35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57"/>
      <c r="Z244" s="30"/>
      <c r="AA244" s="66"/>
      <c r="AB244" s="30"/>
      <c r="AC244" s="30"/>
      <c r="AD244" s="30"/>
      <c r="AE244" s="66"/>
      <c r="AF244" s="30"/>
      <c r="AG244" s="30"/>
      <c r="AH244" s="30"/>
      <c r="AI244" s="30"/>
      <c r="AJ244" s="30"/>
      <c r="AK244" s="30"/>
      <c r="AL244" s="30"/>
      <c r="AM244" s="30"/>
      <c r="AN244" s="30"/>
      <c r="AO244" s="5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</row>
    <row r="245" spans="1:61" ht="15.5" x14ac:dyDescent="0.3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57"/>
      <c r="Z245" s="30"/>
      <c r="AA245" s="66"/>
      <c r="AB245" s="30"/>
      <c r="AC245" s="30"/>
      <c r="AD245" s="30"/>
      <c r="AE245" s="66"/>
      <c r="AF245" s="30"/>
      <c r="AG245" s="30"/>
      <c r="AH245" s="30"/>
      <c r="AI245" s="30"/>
      <c r="AJ245" s="30"/>
      <c r="AK245" s="30"/>
      <c r="AL245" s="30"/>
      <c r="AM245" s="30"/>
      <c r="AN245" s="30"/>
      <c r="AO245" s="5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</row>
    <row r="246" spans="1:61" ht="15.5" x14ac:dyDescent="0.3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57"/>
      <c r="Z246" s="30"/>
      <c r="AA246" s="66"/>
      <c r="AB246" s="30"/>
      <c r="AC246" s="30"/>
      <c r="AD246" s="30"/>
      <c r="AE246" s="66"/>
      <c r="AF246" s="30"/>
      <c r="AG246" s="30"/>
      <c r="AH246" s="30"/>
      <c r="AI246" s="30"/>
      <c r="AJ246" s="30"/>
      <c r="AK246" s="30"/>
      <c r="AL246" s="30"/>
      <c r="AM246" s="30"/>
      <c r="AN246" s="30"/>
      <c r="AO246" s="5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</row>
    <row r="247" spans="1:61" ht="15.5" x14ac:dyDescent="0.35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57"/>
      <c r="Z247" s="30"/>
      <c r="AA247" s="66"/>
      <c r="AB247" s="30"/>
      <c r="AC247" s="30"/>
      <c r="AD247" s="30"/>
      <c r="AE247" s="66"/>
      <c r="AF247" s="30"/>
      <c r="AG247" s="30"/>
      <c r="AH247" s="30"/>
      <c r="AI247" s="30"/>
      <c r="AJ247" s="30"/>
      <c r="AK247" s="30"/>
      <c r="AL247" s="30"/>
      <c r="AM247" s="30"/>
      <c r="AN247" s="30"/>
      <c r="AO247" s="5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</row>
    <row r="248" spans="1:61" ht="15.5" x14ac:dyDescent="0.35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57"/>
      <c r="Z248" s="30"/>
      <c r="AA248" s="66"/>
      <c r="AB248" s="30"/>
      <c r="AC248" s="30"/>
      <c r="AD248" s="30"/>
      <c r="AE248" s="66"/>
      <c r="AF248" s="30"/>
      <c r="AG248" s="30"/>
      <c r="AH248" s="30"/>
      <c r="AI248" s="30"/>
      <c r="AJ248" s="30"/>
      <c r="AK248" s="30"/>
      <c r="AL248" s="30"/>
      <c r="AM248" s="30"/>
      <c r="AN248" s="30"/>
      <c r="AO248" s="5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</row>
    <row r="249" spans="1:61" ht="15.5" x14ac:dyDescent="0.35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57"/>
      <c r="Z249" s="30"/>
      <c r="AA249" s="66"/>
      <c r="AB249" s="30"/>
      <c r="AC249" s="30"/>
      <c r="AD249" s="30"/>
      <c r="AE249" s="66"/>
      <c r="AF249" s="30"/>
      <c r="AG249" s="30"/>
      <c r="AH249" s="30"/>
      <c r="AI249" s="30"/>
      <c r="AJ249" s="30"/>
      <c r="AK249" s="30"/>
      <c r="AL249" s="30"/>
      <c r="AM249" s="30"/>
      <c r="AN249" s="30"/>
      <c r="AO249" s="5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</row>
    <row r="250" spans="1:61" ht="15.5" x14ac:dyDescent="0.3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57"/>
      <c r="Z250" s="30"/>
      <c r="AA250" s="66"/>
      <c r="AB250" s="30"/>
      <c r="AC250" s="30"/>
      <c r="AD250" s="30"/>
      <c r="AE250" s="66"/>
      <c r="AF250" s="30"/>
      <c r="AG250" s="30"/>
      <c r="AH250" s="30"/>
      <c r="AI250" s="30"/>
      <c r="AJ250" s="30"/>
      <c r="AK250" s="30"/>
      <c r="AL250" s="30"/>
      <c r="AM250" s="30"/>
      <c r="AN250" s="30"/>
      <c r="AO250" s="5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</row>
    <row r="251" spans="1:61" ht="15.5" x14ac:dyDescent="0.35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57"/>
      <c r="Z251" s="30"/>
      <c r="AA251" s="66"/>
      <c r="AB251" s="30"/>
      <c r="AC251" s="30"/>
      <c r="AD251" s="30"/>
      <c r="AE251" s="66"/>
      <c r="AF251" s="30"/>
      <c r="AG251" s="30"/>
      <c r="AH251" s="30"/>
      <c r="AI251" s="30"/>
      <c r="AJ251" s="30"/>
      <c r="AK251" s="30"/>
      <c r="AL251" s="30"/>
      <c r="AM251" s="30"/>
      <c r="AN251" s="30"/>
      <c r="AO251" s="5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</row>
    <row r="252" spans="1:61" ht="15.5" x14ac:dyDescent="0.35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57"/>
      <c r="Z252" s="30"/>
      <c r="AA252" s="66"/>
      <c r="AB252" s="30"/>
      <c r="AC252" s="30"/>
      <c r="AD252" s="30"/>
      <c r="AE252" s="66"/>
      <c r="AF252" s="30"/>
      <c r="AG252" s="30"/>
      <c r="AH252" s="30"/>
      <c r="AI252" s="30"/>
      <c r="AJ252" s="30"/>
      <c r="AK252" s="30"/>
      <c r="AL252" s="30"/>
      <c r="AM252" s="30"/>
      <c r="AN252" s="30"/>
      <c r="AO252" s="5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</row>
    <row r="253" spans="1:61" ht="15.5" x14ac:dyDescent="0.3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57"/>
      <c r="Z253" s="30"/>
      <c r="AA253" s="66"/>
      <c r="AB253" s="30"/>
      <c r="AC253" s="30"/>
      <c r="AD253" s="30"/>
      <c r="AE253" s="66"/>
      <c r="AF253" s="30"/>
      <c r="AG253" s="30"/>
      <c r="AH253" s="30"/>
      <c r="AI253" s="30"/>
      <c r="AJ253" s="30"/>
      <c r="AK253" s="30"/>
      <c r="AL253" s="30"/>
      <c r="AM253" s="30"/>
      <c r="AN253" s="30"/>
      <c r="AO253" s="5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</row>
    <row r="254" spans="1:61" ht="15.5" x14ac:dyDescent="0.3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57"/>
      <c r="Z254" s="30"/>
      <c r="AA254" s="66"/>
      <c r="AB254" s="30"/>
      <c r="AC254" s="30"/>
      <c r="AD254" s="30"/>
      <c r="AE254" s="66"/>
      <c r="AF254" s="30"/>
      <c r="AG254" s="30"/>
      <c r="AH254" s="30"/>
      <c r="AI254" s="30"/>
      <c r="AJ254" s="30"/>
      <c r="AK254" s="30"/>
      <c r="AL254" s="30"/>
      <c r="AM254" s="30"/>
      <c r="AN254" s="30"/>
      <c r="AO254" s="5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</row>
    <row r="255" spans="1:61" ht="15.5" x14ac:dyDescent="0.3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57"/>
      <c r="Z255" s="30"/>
      <c r="AA255" s="66"/>
      <c r="AB255" s="30"/>
      <c r="AC255" s="30"/>
      <c r="AD255" s="30"/>
      <c r="AE255" s="66"/>
      <c r="AF255" s="30"/>
      <c r="AG255" s="30"/>
      <c r="AH255" s="30"/>
      <c r="AI255" s="30"/>
      <c r="AJ255" s="30"/>
      <c r="AK255" s="30"/>
      <c r="AL255" s="30"/>
      <c r="AM255" s="30"/>
      <c r="AN255" s="30"/>
      <c r="AO255" s="5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</row>
    <row r="256" spans="1:61" ht="15.5" x14ac:dyDescent="0.3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57"/>
      <c r="Z256" s="30"/>
      <c r="AA256" s="66"/>
      <c r="AB256" s="30"/>
      <c r="AC256" s="30"/>
      <c r="AD256" s="30"/>
      <c r="AE256" s="66"/>
      <c r="AF256" s="30"/>
      <c r="AG256" s="30"/>
      <c r="AH256" s="30"/>
      <c r="AI256" s="30"/>
      <c r="AJ256" s="30"/>
      <c r="AK256" s="30"/>
      <c r="AL256" s="30"/>
      <c r="AM256" s="30"/>
      <c r="AN256" s="30"/>
      <c r="AO256" s="5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</row>
    <row r="257" spans="1:61" ht="15.5" x14ac:dyDescent="0.35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57"/>
      <c r="Z257" s="30"/>
      <c r="AA257" s="66"/>
      <c r="AB257" s="30"/>
      <c r="AC257" s="30"/>
      <c r="AD257" s="30"/>
      <c r="AE257" s="66"/>
      <c r="AF257" s="30"/>
      <c r="AG257" s="30"/>
      <c r="AH257" s="30"/>
      <c r="AI257" s="30"/>
      <c r="AJ257" s="30"/>
      <c r="AK257" s="30"/>
      <c r="AL257" s="30"/>
      <c r="AM257" s="30"/>
      <c r="AN257" s="30"/>
      <c r="AO257" s="5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</row>
    <row r="258" spans="1:61" ht="15.5" x14ac:dyDescent="0.35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57"/>
      <c r="Z258" s="30"/>
      <c r="AA258" s="66"/>
      <c r="AB258" s="30"/>
      <c r="AC258" s="30"/>
      <c r="AD258" s="30"/>
      <c r="AE258" s="66"/>
      <c r="AF258" s="30"/>
      <c r="AG258" s="30"/>
      <c r="AH258" s="30"/>
      <c r="AI258" s="30"/>
      <c r="AJ258" s="30"/>
      <c r="AK258" s="30"/>
      <c r="AL258" s="30"/>
      <c r="AM258" s="30"/>
      <c r="AN258" s="30"/>
      <c r="AO258" s="5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</row>
    <row r="259" spans="1:61" ht="15.5" x14ac:dyDescent="0.35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57"/>
      <c r="Z259" s="30"/>
      <c r="AA259" s="66"/>
      <c r="AB259" s="30"/>
      <c r="AC259" s="30"/>
      <c r="AD259" s="30"/>
      <c r="AE259" s="66"/>
      <c r="AF259" s="30"/>
      <c r="AG259" s="30"/>
      <c r="AH259" s="30"/>
      <c r="AI259" s="30"/>
      <c r="AJ259" s="30"/>
      <c r="AK259" s="30"/>
      <c r="AL259" s="30"/>
      <c r="AM259" s="30"/>
      <c r="AN259" s="30"/>
      <c r="AO259" s="5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</row>
    <row r="260" spans="1:61" ht="15.5" x14ac:dyDescent="0.3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57"/>
      <c r="Z260" s="30"/>
      <c r="AA260" s="66"/>
      <c r="AB260" s="30"/>
      <c r="AC260" s="30"/>
      <c r="AD260" s="30"/>
      <c r="AE260" s="66"/>
      <c r="AF260" s="30"/>
      <c r="AG260" s="30"/>
      <c r="AH260" s="30"/>
      <c r="AI260" s="30"/>
      <c r="AJ260" s="30"/>
      <c r="AK260" s="30"/>
      <c r="AL260" s="30"/>
      <c r="AM260" s="30"/>
      <c r="AN260" s="30"/>
      <c r="AO260" s="5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</row>
    <row r="261" spans="1:61" ht="15.5" x14ac:dyDescent="0.35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57"/>
      <c r="Z261" s="30"/>
      <c r="AA261" s="66"/>
      <c r="AB261" s="30"/>
      <c r="AC261" s="30"/>
      <c r="AD261" s="30"/>
      <c r="AE261" s="66"/>
      <c r="AF261" s="30"/>
      <c r="AG261" s="30"/>
      <c r="AH261" s="30"/>
      <c r="AI261" s="30"/>
      <c r="AJ261" s="30"/>
      <c r="AK261" s="30"/>
      <c r="AL261" s="30"/>
      <c r="AM261" s="30"/>
      <c r="AN261" s="30"/>
      <c r="AO261" s="5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</row>
    <row r="262" spans="1:61" ht="15.5" x14ac:dyDescent="0.35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57"/>
      <c r="Z262" s="30"/>
      <c r="AA262" s="66"/>
      <c r="AB262" s="30"/>
      <c r="AC262" s="30"/>
      <c r="AD262" s="30"/>
      <c r="AE262" s="66"/>
      <c r="AF262" s="30"/>
      <c r="AG262" s="30"/>
      <c r="AH262" s="30"/>
      <c r="AI262" s="30"/>
      <c r="AJ262" s="30"/>
      <c r="AK262" s="30"/>
      <c r="AL262" s="30"/>
      <c r="AM262" s="30"/>
      <c r="AN262" s="30"/>
      <c r="AO262" s="5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</row>
    <row r="263" spans="1:61" ht="15.5" x14ac:dyDescent="0.35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57"/>
      <c r="Z263" s="30"/>
      <c r="AA263" s="66"/>
      <c r="AB263" s="30"/>
      <c r="AC263" s="30"/>
      <c r="AD263" s="30"/>
      <c r="AE263" s="66"/>
      <c r="AF263" s="30"/>
      <c r="AG263" s="30"/>
      <c r="AH263" s="30"/>
      <c r="AI263" s="30"/>
      <c r="AJ263" s="30"/>
      <c r="AK263" s="30"/>
      <c r="AL263" s="30"/>
      <c r="AM263" s="30"/>
      <c r="AN263" s="30"/>
      <c r="AO263" s="5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</row>
    <row r="264" spans="1:61" ht="15.5" x14ac:dyDescent="0.3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57"/>
      <c r="Z264" s="30"/>
      <c r="AA264" s="66"/>
      <c r="AB264" s="30"/>
      <c r="AC264" s="30"/>
      <c r="AD264" s="30"/>
      <c r="AE264" s="66"/>
      <c r="AF264" s="30"/>
      <c r="AG264" s="30"/>
      <c r="AH264" s="30"/>
      <c r="AI264" s="30"/>
      <c r="AJ264" s="30"/>
      <c r="AK264" s="30"/>
      <c r="AL264" s="30"/>
      <c r="AM264" s="30"/>
      <c r="AN264" s="30"/>
      <c r="AO264" s="5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</row>
    <row r="265" spans="1:61" ht="15.5" x14ac:dyDescent="0.3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57"/>
      <c r="Z265" s="30"/>
      <c r="AA265" s="66"/>
      <c r="AB265" s="30"/>
      <c r="AC265" s="30"/>
      <c r="AD265" s="30"/>
      <c r="AE265" s="66"/>
      <c r="AF265" s="30"/>
      <c r="AG265" s="30"/>
      <c r="AH265" s="30"/>
      <c r="AI265" s="30"/>
      <c r="AJ265" s="30"/>
      <c r="AK265" s="30"/>
      <c r="AL265" s="30"/>
      <c r="AM265" s="30"/>
      <c r="AN265" s="30"/>
      <c r="AO265" s="5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</row>
    <row r="266" spans="1:61" ht="15.5" x14ac:dyDescent="0.35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57"/>
      <c r="Z266" s="30"/>
      <c r="AA266" s="66"/>
      <c r="AB266" s="30"/>
      <c r="AC266" s="30"/>
      <c r="AD266" s="30"/>
      <c r="AE266" s="66"/>
      <c r="AF266" s="30"/>
      <c r="AG266" s="30"/>
      <c r="AH266" s="30"/>
      <c r="AI266" s="30"/>
      <c r="AJ266" s="30"/>
      <c r="AK266" s="30"/>
      <c r="AL266" s="30"/>
      <c r="AM266" s="30"/>
      <c r="AN266" s="30"/>
      <c r="AO266" s="5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</row>
    <row r="267" spans="1:61" ht="15.5" x14ac:dyDescent="0.3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57"/>
      <c r="Z267" s="30"/>
      <c r="AA267" s="66"/>
      <c r="AB267" s="30"/>
      <c r="AC267" s="30"/>
      <c r="AD267" s="30"/>
      <c r="AE267" s="66"/>
      <c r="AF267" s="30"/>
      <c r="AG267" s="30"/>
      <c r="AH267" s="30"/>
      <c r="AI267" s="30"/>
      <c r="AJ267" s="30"/>
      <c r="AK267" s="30"/>
      <c r="AL267" s="30"/>
      <c r="AM267" s="30"/>
      <c r="AN267" s="30"/>
      <c r="AO267" s="5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</row>
    <row r="268" spans="1:61" ht="15.5" x14ac:dyDescent="0.35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57"/>
      <c r="Z268" s="30"/>
      <c r="AA268" s="66"/>
      <c r="AB268" s="30"/>
      <c r="AC268" s="30"/>
      <c r="AD268" s="30"/>
      <c r="AE268" s="66"/>
      <c r="AF268" s="30"/>
      <c r="AG268" s="30"/>
      <c r="AH268" s="30"/>
      <c r="AI268" s="30"/>
      <c r="AJ268" s="30"/>
      <c r="AK268" s="30"/>
      <c r="AL268" s="30"/>
      <c r="AM268" s="30"/>
      <c r="AN268" s="30"/>
      <c r="AO268" s="5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</row>
    <row r="269" spans="1:61" ht="15.5" x14ac:dyDescent="0.35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57"/>
      <c r="Z269" s="30"/>
      <c r="AA269" s="66"/>
      <c r="AB269" s="30"/>
      <c r="AC269" s="30"/>
      <c r="AD269" s="30"/>
      <c r="AE269" s="66"/>
      <c r="AF269" s="30"/>
      <c r="AG269" s="30"/>
      <c r="AH269" s="30"/>
      <c r="AI269" s="30"/>
      <c r="AJ269" s="30"/>
      <c r="AK269" s="30"/>
      <c r="AL269" s="30"/>
      <c r="AM269" s="30"/>
      <c r="AN269" s="30"/>
      <c r="AO269" s="5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</row>
    <row r="270" spans="1:61" ht="15.5" x14ac:dyDescent="0.35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57"/>
      <c r="Z270" s="30"/>
      <c r="AA270" s="66"/>
      <c r="AB270" s="30"/>
      <c r="AC270" s="30"/>
      <c r="AD270" s="30"/>
      <c r="AE270" s="66"/>
      <c r="AF270" s="30"/>
      <c r="AG270" s="30"/>
      <c r="AH270" s="30"/>
      <c r="AI270" s="30"/>
      <c r="AJ270" s="30"/>
      <c r="AK270" s="30"/>
      <c r="AL270" s="30"/>
      <c r="AM270" s="30"/>
      <c r="AN270" s="30"/>
      <c r="AO270" s="5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</row>
    <row r="271" spans="1:61" ht="15.5" x14ac:dyDescent="0.35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57"/>
      <c r="Z271" s="30"/>
      <c r="AA271" s="66"/>
      <c r="AB271" s="30"/>
      <c r="AC271" s="30"/>
      <c r="AD271" s="30"/>
      <c r="AE271" s="66"/>
      <c r="AF271" s="30"/>
      <c r="AG271" s="30"/>
      <c r="AH271" s="30"/>
      <c r="AI271" s="30"/>
      <c r="AJ271" s="30"/>
      <c r="AK271" s="30"/>
      <c r="AL271" s="30"/>
      <c r="AM271" s="30"/>
      <c r="AN271" s="30"/>
      <c r="AO271" s="5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</row>
    <row r="272" spans="1:61" ht="15.5" x14ac:dyDescent="0.35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57"/>
      <c r="Z272" s="30"/>
      <c r="AA272" s="66"/>
      <c r="AB272" s="30"/>
      <c r="AC272" s="30"/>
      <c r="AD272" s="30"/>
      <c r="AE272" s="66"/>
      <c r="AF272" s="30"/>
      <c r="AG272" s="30"/>
      <c r="AH272" s="30"/>
      <c r="AI272" s="30"/>
      <c r="AJ272" s="30"/>
      <c r="AK272" s="30"/>
      <c r="AL272" s="30"/>
      <c r="AM272" s="30"/>
      <c r="AN272" s="30"/>
      <c r="AO272" s="5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</row>
    <row r="273" spans="1:61" ht="15.5" x14ac:dyDescent="0.35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57"/>
      <c r="Z273" s="30"/>
      <c r="AA273" s="66"/>
      <c r="AB273" s="30"/>
      <c r="AC273" s="30"/>
      <c r="AD273" s="30"/>
      <c r="AE273" s="66"/>
      <c r="AF273" s="30"/>
      <c r="AG273" s="30"/>
      <c r="AH273" s="30"/>
      <c r="AI273" s="30"/>
      <c r="AJ273" s="30"/>
      <c r="AK273" s="30"/>
      <c r="AL273" s="30"/>
      <c r="AM273" s="30"/>
      <c r="AN273" s="30"/>
      <c r="AO273" s="5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</row>
    <row r="274" spans="1:61" ht="15.5" x14ac:dyDescent="0.3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57"/>
      <c r="Z274" s="30"/>
      <c r="AA274" s="66"/>
      <c r="AB274" s="30"/>
      <c r="AC274" s="30"/>
      <c r="AD274" s="30"/>
      <c r="AE274" s="66"/>
      <c r="AF274" s="30"/>
      <c r="AG274" s="30"/>
      <c r="AH274" s="30"/>
      <c r="AI274" s="30"/>
      <c r="AJ274" s="30"/>
      <c r="AK274" s="30"/>
      <c r="AL274" s="30"/>
      <c r="AM274" s="30"/>
      <c r="AN274" s="30"/>
      <c r="AO274" s="5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</row>
    <row r="275" spans="1:61" ht="15.5" x14ac:dyDescent="0.3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57"/>
      <c r="Z275" s="30"/>
      <c r="AA275" s="66"/>
      <c r="AB275" s="30"/>
      <c r="AC275" s="30"/>
      <c r="AD275" s="30"/>
      <c r="AE275" s="66"/>
      <c r="AF275" s="30"/>
      <c r="AG275" s="30"/>
      <c r="AH275" s="30"/>
      <c r="AI275" s="30"/>
      <c r="AJ275" s="30"/>
      <c r="AK275" s="30"/>
      <c r="AL275" s="30"/>
      <c r="AM275" s="30"/>
      <c r="AN275" s="30"/>
      <c r="AO275" s="5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</row>
    <row r="276" spans="1:61" ht="15.5" x14ac:dyDescent="0.35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57"/>
      <c r="Z276" s="30"/>
      <c r="AA276" s="66"/>
      <c r="AB276" s="30"/>
      <c r="AC276" s="30"/>
      <c r="AD276" s="30"/>
      <c r="AE276" s="66"/>
      <c r="AF276" s="30"/>
      <c r="AG276" s="30"/>
      <c r="AH276" s="30"/>
      <c r="AI276" s="30"/>
      <c r="AJ276" s="30"/>
      <c r="AK276" s="30"/>
      <c r="AL276" s="30"/>
      <c r="AM276" s="30"/>
      <c r="AN276" s="30"/>
      <c r="AO276" s="5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</row>
    <row r="277" spans="1:61" ht="15.5" x14ac:dyDescent="0.35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57"/>
      <c r="Z277" s="30"/>
      <c r="AA277" s="66"/>
      <c r="AB277" s="30"/>
      <c r="AC277" s="30"/>
      <c r="AD277" s="30"/>
      <c r="AE277" s="66"/>
      <c r="AF277" s="30"/>
      <c r="AG277" s="30"/>
      <c r="AH277" s="30"/>
      <c r="AI277" s="30"/>
      <c r="AJ277" s="30"/>
      <c r="AK277" s="30"/>
      <c r="AL277" s="30"/>
      <c r="AM277" s="30"/>
      <c r="AN277" s="30"/>
      <c r="AO277" s="5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</row>
    <row r="278" spans="1:61" ht="15.5" x14ac:dyDescent="0.35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57"/>
      <c r="Z278" s="30"/>
      <c r="AA278" s="66"/>
      <c r="AB278" s="30"/>
      <c r="AC278" s="30"/>
      <c r="AD278" s="30"/>
      <c r="AE278" s="66"/>
      <c r="AF278" s="30"/>
      <c r="AG278" s="30"/>
      <c r="AH278" s="30"/>
      <c r="AI278" s="30"/>
      <c r="AJ278" s="30"/>
      <c r="AK278" s="30"/>
      <c r="AL278" s="30"/>
      <c r="AM278" s="30"/>
      <c r="AN278" s="30"/>
      <c r="AO278" s="5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</row>
    <row r="279" spans="1:61" ht="15.5" x14ac:dyDescent="0.35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57"/>
      <c r="Z279" s="30"/>
      <c r="AA279" s="66"/>
      <c r="AB279" s="30"/>
      <c r="AC279" s="30"/>
      <c r="AD279" s="30"/>
      <c r="AE279" s="66"/>
      <c r="AF279" s="30"/>
      <c r="AG279" s="30"/>
      <c r="AH279" s="30"/>
      <c r="AI279" s="30"/>
      <c r="AJ279" s="30"/>
      <c r="AK279" s="30"/>
      <c r="AL279" s="30"/>
      <c r="AM279" s="30"/>
      <c r="AN279" s="30"/>
      <c r="AO279" s="5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</row>
    <row r="280" spans="1:61" ht="15.5" x14ac:dyDescent="0.35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57"/>
      <c r="Z280" s="30"/>
      <c r="AA280" s="66"/>
      <c r="AB280" s="30"/>
      <c r="AC280" s="30"/>
      <c r="AD280" s="30"/>
      <c r="AE280" s="66"/>
      <c r="AF280" s="30"/>
      <c r="AG280" s="30"/>
      <c r="AH280" s="30"/>
      <c r="AI280" s="30"/>
      <c r="AJ280" s="30"/>
      <c r="AK280" s="30"/>
      <c r="AL280" s="30"/>
      <c r="AM280" s="30"/>
      <c r="AN280" s="30"/>
      <c r="AO280" s="5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</row>
    <row r="281" spans="1:61" ht="15.5" x14ac:dyDescent="0.3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57"/>
      <c r="Z281" s="30"/>
      <c r="AA281" s="66"/>
      <c r="AB281" s="30"/>
      <c r="AC281" s="30"/>
      <c r="AD281" s="30"/>
      <c r="AE281" s="66"/>
      <c r="AF281" s="30"/>
      <c r="AG281" s="30"/>
      <c r="AH281" s="30"/>
      <c r="AI281" s="30"/>
      <c r="AJ281" s="30"/>
      <c r="AK281" s="30"/>
      <c r="AL281" s="30"/>
      <c r="AM281" s="30"/>
      <c r="AN281" s="30"/>
      <c r="AO281" s="5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</row>
    <row r="282" spans="1:61" ht="15.5" x14ac:dyDescent="0.35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57"/>
      <c r="Z282" s="30"/>
      <c r="AA282" s="66"/>
      <c r="AB282" s="30"/>
      <c r="AC282" s="30"/>
      <c r="AD282" s="30"/>
      <c r="AE282" s="66"/>
      <c r="AF282" s="30"/>
      <c r="AG282" s="30"/>
      <c r="AH282" s="30"/>
      <c r="AI282" s="30"/>
      <c r="AJ282" s="30"/>
      <c r="AK282" s="30"/>
      <c r="AL282" s="30"/>
      <c r="AM282" s="30"/>
      <c r="AN282" s="30"/>
      <c r="AO282" s="5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</row>
    <row r="283" spans="1:61" ht="15.5" x14ac:dyDescent="0.35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57"/>
      <c r="Z283" s="30"/>
      <c r="AA283" s="66"/>
      <c r="AB283" s="30"/>
      <c r="AC283" s="30"/>
      <c r="AD283" s="30"/>
      <c r="AE283" s="66"/>
      <c r="AF283" s="30"/>
      <c r="AG283" s="30"/>
      <c r="AH283" s="30"/>
      <c r="AI283" s="30"/>
      <c r="AJ283" s="30"/>
      <c r="AK283" s="30"/>
      <c r="AL283" s="30"/>
      <c r="AM283" s="30"/>
      <c r="AN283" s="30"/>
      <c r="AO283" s="5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</row>
    <row r="284" spans="1:61" ht="15.5" x14ac:dyDescent="0.35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57"/>
      <c r="Z284" s="30"/>
      <c r="AA284" s="66"/>
      <c r="AB284" s="30"/>
      <c r="AC284" s="30"/>
      <c r="AD284" s="30"/>
      <c r="AE284" s="66"/>
      <c r="AF284" s="30"/>
      <c r="AG284" s="30"/>
      <c r="AH284" s="30"/>
      <c r="AI284" s="30"/>
      <c r="AJ284" s="30"/>
      <c r="AK284" s="30"/>
      <c r="AL284" s="30"/>
      <c r="AM284" s="30"/>
      <c r="AN284" s="30"/>
      <c r="AO284" s="5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</row>
    <row r="285" spans="1:61" ht="15.5" x14ac:dyDescent="0.3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57"/>
      <c r="Z285" s="30"/>
      <c r="AA285" s="66"/>
      <c r="AB285" s="30"/>
      <c r="AC285" s="30"/>
      <c r="AD285" s="30"/>
      <c r="AE285" s="66"/>
      <c r="AF285" s="30"/>
      <c r="AG285" s="30"/>
      <c r="AH285" s="30"/>
      <c r="AI285" s="30"/>
      <c r="AJ285" s="30"/>
      <c r="AK285" s="30"/>
      <c r="AL285" s="30"/>
      <c r="AM285" s="30"/>
      <c r="AN285" s="30"/>
      <c r="AO285" s="5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</row>
    <row r="286" spans="1:61" ht="15.5" x14ac:dyDescent="0.35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57"/>
      <c r="Z286" s="30"/>
      <c r="AA286" s="66"/>
      <c r="AB286" s="30"/>
      <c r="AC286" s="30"/>
      <c r="AD286" s="30"/>
      <c r="AE286" s="66"/>
      <c r="AF286" s="30"/>
      <c r="AG286" s="30"/>
      <c r="AH286" s="30"/>
      <c r="AI286" s="30"/>
      <c r="AJ286" s="30"/>
      <c r="AK286" s="30"/>
      <c r="AL286" s="30"/>
      <c r="AM286" s="30"/>
      <c r="AN286" s="30"/>
      <c r="AO286" s="5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</row>
    <row r="287" spans="1:61" ht="15.5" x14ac:dyDescent="0.35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57"/>
      <c r="Z287" s="30"/>
      <c r="AA287" s="66"/>
      <c r="AB287" s="30"/>
      <c r="AC287" s="30"/>
      <c r="AD287" s="30"/>
      <c r="AE287" s="66"/>
      <c r="AF287" s="30"/>
      <c r="AG287" s="30"/>
      <c r="AH287" s="30"/>
      <c r="AI287" s="30"/>
      <c r="AJ287" s="30"/>
      <c r="AK287" s="30"/>
      <c r="AL287" s="30"/>
      <c r="AM287" s="30"/>
      <c r="AN287" s="30"/>
      <c r="AO287" s="5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</row>
    <row r="288" spans="1:61" ht="15.5" x14ac:dyDescent="0.3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57"/>
      <c r="Z288" s="30"/>
      <c r="AA288" s="66"/>
      <c r="AB288" s="30"/>
      <c r="AC288" s="30"/>
      <c r="AD288" s="30"/>
      <c r="AE288" s="66"/>
      <c r="AF288" s="30"/>
      <c r="AG288" s="30"/>
      <c r="AH288" s="30"/>
      <c r="AI288" s="30"/>
      <c r="AJ288" s="30"/>
      <c r="AK288" s="30"/>
      <c r="AL288" s="30"/>
      <c r="AM288" s="30"/>
      <c r="AN288" s="30"/>
      <c r="AO288" s="5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</row>
    <row r="289" spans="1:61" ht="15.5" x14ac:dyDescent="0.35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57"/>
      <c r="Z289" s="30"/>
      <c r="AA289" s="66"/>
      <c r="AB289" s="30"/>
      <c r="AC289" s="30"/>
      <c r="AD289" s="30"/>
      <c r="AE289" s="66"/>
      <c r="AF289" s="30"/>
      <c r="AG289" s="30"/>
      <c r="AH289" s="30"/>
      <c r="AI289" s="30"/>
      <c r="AJ289" s="30"/>
      <c r="AK289" s="30"/>
      <c r="AL289" s="30"/>
      <c r="AM289" s="30"/>
      <c r="AN289" s="30"/>
      <c r="AO289" s="5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</row>
    <row r="290" spans="1:61" ht="15.5" x14ac:dyDescent="0.35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57"/>
      <c r="Z290" s="30"/>
      <c r="AA290" s="66"/>
      <c r="AB290" s="30"/>
      <c r="AC290" s="30"/>
      <c r="AD290" s="30"/>
      <c r="AE290" s="66"/>
      <c r="AF290" s="30"/>
      <c r="AG290" s="30"/>
      <c r="AH290" s="30"/>
      <c r="AI290" s="30"/>
      <c r="AJ290" s="30"/>
      <c r="AK290" s="30"/>
      <c r="AL290" s="30"/>
      <c r="AM290" s="30"/>
      <c r="AN290" s="30"/>
      <c r="AO290" s="5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</row>
    <row r="291" spans="1:61" ht="15.5" x14ac:dyDescent="0.35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57"/>
      <c r="Z291" s="30"/>
      <c r="AA291" s="66"/>
      <c r="AB291" s="30"/>
      <c r="AC291" s="30"/>
      <c r="AD291" s="30"/>
      <c r="AE291" s="66"/>
      <c r="AF291" s="30"/>
      <c r="AG291" s="30"/>
      <c r="AH291" s="30"/>
      <c r="AI291" s="30"/>
      <c r="AJ291" s="30"/>
      <c r="AK291" s="30"/>
      <c r="AL291" s="30"/>
      <c r="AM291" s="30"/>
      <c r="AN291" s="30"/>
      <c r="AO291" s="5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</row>
    <row r="292" spans="1:61" ht="15.5" x14ac:dyDescent="0.35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57"/>
      <c r="Z292" s="30"/>
      <c r="AA292" s="66"/>
      <c r="AB292" s="30"/>
      <c r="AC292" s="30"/>
      <c r="AD292" s="30"/>
      <c r="AE292" s="66"/>
      <c r="AF292" s="30"/>
      <c r="AG292" s="30"/>
      <c r="AH292" s="30"/>
      <c r="AI292" s="30"/>
      <c r="AJ292" s="30"/>
      <c r="AK292" s="30"/>
      <c r="AL292" s="30"/>
      <c r="AM292" s="30"/>
      <c r="AN292" s="30"/>
      <c r="AO292" s="5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</row>
    <row r="293" spans="1:61" ht="15.5" x14ac:dyDescent="0.35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58"/>
      <c r="Z293" s="30"/>
      <c r="AA293" s="67"/>
      <c r="AB293" s="30"/>
      <c r="AC293" s="30"/>
      <c r="AD293" s="30"/>
      <c r="AE293" s="67"/>
      <c r="AF293" s="30"/>
      <c r="AG293" s="30"/>
      <c r="AH293" s="30"/>
      <c r="AI293" s="30"/>
      <c r="AJ293" s="30"/>
      <c r="AK293" s="30"/>
      <c r="AL293" s="30"/>
      <c r="AM293" s="30"/>
      <c r="AN293" s="30"/>
      <c r="AO293" s="5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</row>
    <row r="294" spans="1:61" ht="15.5" x14ac:dyDescent="0.35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58"/>
      <c r="Z294" s="30"/>
      <c r="AA294" s="67"/>
      <c r="AB294" s="30"/>
      <c r="AC294" s="30"/>
      <c r="AD294" s="30"/>
      <c r="AE294" s="67"/>
      <c r="AF294" s="30"/>
      <c r="AG294" s="30"/>
      <c r="AH294" s="30"/>
      <c r="AI294" s="30"/>
      <c r="AJ294" s="30"/>
      <c r="AK294" s="30"/>
      <c r="AL294" s="30"/>
      <c r="AM294" s="30"/>
      <c r="AN294" s="30"/>
      <c r="AO294" s="5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</row>
    <row r="295" spans="1:61" ht="15.5" x14ac:dyDescent="0.3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58"/>
      <c r="Z295" s="30"/>
      <c r="AA295" s="67"/>
      <c r="AB295" s="30"/>
      <c r="AC295" s="30"/>
      <c r="AD295" s="30"/>
      <c r="AE295" s="67"/>
      <c r="AF295" s="30"/>
      <c r="AG295" s="30"/>
      <c r="AH295" s="30"/>
      <c r="AI295" s="30"/>
      <c r="AJ295" s="30"/>
      <c r="AK295" s="30"/>
      <c r="AL295" s="30"/>
      <c r="AM295" s="30"/>
      <c r="AN295" s="30"/>
      <c r="AO295" s="5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</row>
    <row r="296" spans="1:61" ht="15.5" x14ac:dyDescent="0.35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58"/>
      <c r="Z296" s="30"/>
      <c r="AA296" s="67"/>
      <c r="AB296" s="30"/>
      <c r="AC296" s="30"/>
      <c r="AD296" s="30"/>
      <c r="AE296" s="67"/>
      <c r="AF296" s="30"/>
      <c r="AG296" s="30"/>
      <c r="AH296" s="30"/>
      <c r="AI296" s="30"/>
      <c r="AJ296" s="30"/>
      <c r="AK296" s="30"/>
      <c r="AL296" s="30"/>
      <c r="AM296" s="30"/>
      <c r="AN296" s="30"/>
      <c r="AO296" s="5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</row>
    <row r="297" spans="1:61" ht="15.5" x14ac:dyDescent="0.35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58"/>
      <c r="Z297" s="30"/>
      <c r="AA297" s="67"/>
      <c r="AB297" s="30"/>
      <c r="AC297" s="30"/>
      <c r="AD297" s="30"/>
      <c r="AE297" s="67"/>
      <c r="AF297" s="30"/>
      <c r="AG297" s="30"/>
      <c r="AH297" s="30"/>
      <c r="AI297" s="30"/>
      <c r="AJ297" s="30"/>
      <c r="AK297" s="30"/>
      <c r="AL297" s="30"/>
      <c r="AM297" s="30"/>
      <c r="AN297" s="30"/>
      <c r="AO297" s="5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</row>
    <row r="298" spans="1:61" ht="15.5" x14ac:dyDescent="0.35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58"/>
      <c r="Z298" s="30"/>
      <c r="AA298" s="67"/>
      <c r="AB298" s="30"/>
      <c r="AC298" s="30"/>
      <c r="AD298" s="30"/>
      <c r="AE298" s="67"/>
      <c r="AF298" s="30"/>
      <c r="AG298" s="30"/>
      <c r="AH298" s="30"/>
      <c r="AI298" s="30"/>
      <c r="AJ298" s="30"/>
      <c r="AK298" s="30"/>
      <c r="AL298" s="30"/>
      <c r="AM298" s="30"/>
      <c r="AN298" s="30"/>
      <c r="AO298" s="5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</row>
    <row r="299" spans="1:61" ht="15.5" x14ac:dyDescent="0.35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58"/>
      <c r="Z299" s="30"/>
      <c r="AA299" s="67"/>
      <c r="AB299" s="30"/>
      <c r="AC299" s="30"/>
      <c r="AD299" s="30"/>
      <c r="AE299" s="67"/>
      <c r="AF299" s="30"/>
      <c r="AG299" s="30"/>
      <c r="AH299" s="30"/>
      <c r="AI299" s="30"/>
      <c r="AJ299" s="30"/>
      <c r="AK299" s="30"/>
      <c r="AL299" s="30"/>
      <c r="AM299" s="30"/>
      <c r="AN299" s="30"/>
      <c r="AO299" s="5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</row>
    <row r="300" spans="1:61" ht="15.5" x14ac:dyDescent="0.35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58"/>
      <c r="Z300" s="30"/>
      <c r="AA300" s="67"/>
      <c r="AB300" s="30"/>
      <c r="AC300" s="30"/>
      <c r="AD300" s="30"/>
      <c r="AE300" s="67"/>
      <c r="AF300" s="30"/>
      <c r="AG300" s="30"/>
      <c r="AH300" s="30"/>
      <c r="AI300" s="30"/>
      <c r="AJ300" s="30"/>
      <c r="AK300" s="30"/>
      <c r="AL300" s="30"/>
      <c r="AM300" s="30"/>
      <c r="AN300" s="30"/>
      <c r="AO300" s="5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</row>
    <row r="301" spans="1:61" ht="15.5" x14ac:dyDescent="0.35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58"/>
      <c r="Z301" s="30"/>
      <c r="AA301" s="67"/>
      <c r="AB301" s="30"/>
      <c r="AC301" s="30"/>
      <c r="AD301" s="30"/>
      <c r="AE301" s="67"/>
      <c r="AF301" s="30"/>
      <c r="AG301" s="30"/>
      <c r="AH301" s="30"/>
      <c r="AI301" s="30"/>
      <c r="AJ301" s="30"/>
      <c r="AK301" s="30"/>
      <c r="AL301" s="30"/>
      <c r="AM301" s="30"/>
      <c r="AN301" s="30"/>
      <c r="AO301" s="5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</row>
    <row r="302" spans="1:61" ht="15.5" x14ac:dyDescent="0.3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58"/>
      <c r="Z302" s="30"/>
      <c r="AA302" s="67"/>
      <c r="AB302" s="30"/>
      <c r="AC302" s="30"/>
      <c r="AD302" s="30"/>
      <c r="AE302" s="67"/>
      <c r="AF302" s="30"/>
      <c r="AG302" s="30"/>
      <c r="AH302" s="30"/>
      <c r="AI302" s="30"/>
      <c r="AJ302" s="30"/>
      <c r="AK302" s="30"/>
      <c r="AL302" s="30"/>
      <c r="AM302" s="30"/>
      <c r="AN302" s="30"/>
      <c r="AO302" s="5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</row>
    <row r="303" spans="1:61" ht="15.5" x14ac:dyDescent="0.35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58"/>
      <c r="Z303" s="30"/>
      <c r="AA303" s="67"/>
      <c r="AB303" s="30"/>
      <c r="AC303" s="30"/>
      <c r="AD303" s="30"/>
      <c r="AE303" s="67"/>
      <c r="AF303" s="30"/>
      <c r="AG303" s="30"/>
      <c r="AH303" s="30"/>
      <c r="AI303" s="30"/>
      <c r="AJ303" s="30"/>
      <c r="AK303" s="30"/>
      <c r="AL303" s="30"/>
      <c r="AM303" s="30"/>
      <c r="AN303" s="30"/>
      <c r="AO303" s="5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</row>
    <row r="304" spans="1:61" ht="15.5" x14ac:dyDescent="0.35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58"/>
      <c r="Z304" s="30"/>
      <c r="AA304" s="67"/>
      <c r="AB304" s="30"/>
      <c r="AC304" s="30"/>
      <c r="AD304" s="30"/>
      <c r="AE304" s="67"/>
      <c r="AF304" s="30"/>
      <c r="AG304" s="30"/>
      <c r="AH304" s="30"/>
      <c r="AI304" s="30"/>
      <c r="AJ304" s="30"/>
      <c r="AK304" s="30"/>
      <c r="AL304" s="30"/>
      <c r="AM304" s="30"/>
      <c r="AN304" s="30"/>
      <c r="AO304" s="5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</row>
    <row r="305" spans="1:61" ht="15.5" x14ac:dyDescent="0.3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58"/>
      <c r="Z305" s="30"/>
      <c r="AA305" s="67"/>
      <c r="AB305" s="30"/>
      <c r="AC305" s="30"/>
      <c r="AD305" s="30"/>
      <c r="AE305" s="67"/>
      <c r="AF305" s="30"/>
      <c r="AG305" s="30"/>
      <c r="AH305" s="30"/>
      <c r="AI305" s="30"/>
      <c r="AJ305" s="30"/>
      <c r="AK305" s="30"/>
      <c r="AL305" s="30"/>
      <c r="AM305" s="30"/>
      <c r="AN305" s="30"/>
      <c r="AO305" s="5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</row>
    <row r="306" spans="1:61" ht="15.5" x14ac:dyDescent="0.35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58"/>
      <c r="Z306" s="30"/>
      <c r="AA306" s="67"/>
      <c r="AB306" s="30"/>
      <c r="AC306" s="30"/>
      <c r="AD306" s="30"/>
      <c r="AE306" s="67"/>
      <c r="AF306" s="30"/>
      <c r="AG306" s="30"/>
      <c r="AH306" s="30"/>
      <c r="AI306" s="30"/>
      <c r="AJ306" s="30"/>
      <c r="AK306" s="30"/>
      <c r="AL306" s="30"/>
      <c r="AM306" s="30"/>
      <c r="AN306" s="30"/>
      <c r="AO306" s="5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</row>
    <row r="307" spans="1:61" ht="15.5" x14ac:dyDescent="0.35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58"/>
      <c r="Z307" s="30"/>
      <c r="AA307" s="67"/>
      <c r="AB307" s="30"/>
      <c r="AC307" s="30"/>
      <c r="AD307" s="30"/>
      <c r="AE307" s="67"/>
      <c r="AF307" s="30"/>
      <c r="AG307" s="30"/>
      <c r="AH307" s="30"/>
      <c r="AI307" s="30"/>
      <c r="AJ307" s="30"/>
      <c r="AK307" s="30"/>
      <c r="AL307" s="30"/>
      <c r="AM307" s="30"/>
      <c r="AN307" s="30"/>
      <c r="AO307" s="5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</row>
    <row r="308" spans="1:61" ht="15.5" x14ac:dyDescent="0.35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58"/>
      <c r="Z308" s="30"/>
      <c r="AA308" s="67"/>
      <c r="AB308" s="30"/>
      <c r="AC308" s="30"/>
      <c r="AD308" s="30"/>
      <c r="AE308" s="67"/>
      <c r="AF308" s="30"/>
      <c r="AG308" s="30"/>
      <c r="AH308" s="30"/>
      <c r="AI308" s="30"/>
      <c r="AJ308" s="30"/>
      <c r="AK308" s="30"/>
      <c r="AL308" s="30"/>
      <c r="AM308" s="30"/>
      <c r="AN308" s="30"/>
      <c r="AO308" s="5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</row>
    <row r="309" spans="1:61" ht="15.5" x14ac:dyDescent="0.3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58"/>
      <c r="Z309" s="30"/>
      <c r="AA309" s="67"/>
      <c r="AB309" s="30"/>
      <c r="AC309" s="30"/>
      <c r="AD309" s="30"/>
      <c r="AE309" s="67"/>
      <c r="AF309" s="30"/>
      <c r="AG309" s="30"/>
      <c r="AH309" s="30"/>
      <c r="AI309" s="30"/>
      <c r="AJ309" s="30"/>
      <c r="AK309" s="30"/>
      <c r="AL309" s="30"/>
      <c r="AM309" s="30"/>
      <c r="AN309" s="30"/>
      <c r="AO309" s="5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</row>
    <row r="310" spans="1:61" ht="15.5" x14ac:dyDescent="0.35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58"/>
      <c r="Z310" s="30"/>
      <c r="AA310" s="67"/>
      <c r="AB310" s="30"/>
      <c r="AC310" s="30"/>
      <c r="AD310" s="30"/>
      <c r="AE310" s="67"/>
      <c r="AF310" s="30"/>
      <c r="AG310" s="30"/>
      <c r="AH310" s="30"/>
      <c r="AI310" s="30"/>
      <c r="AJ310" s="30"/>
      <c r="AK310" s="30"/>
      <c r="AL310" s="30"/>
      <c r="AM310" s="30"/>
      <c r="AN310" s="30"/>
      <c r="AO310" s="5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</row>
    <row r="311" spans="1:61" ht="15.5" x14ac:dyDescent="0.35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58"/>
      <c r="Z311" s="30"/>
      <c r="AA311" s="67"/>
      <c r="AB311" s="30"/>
      <c r="AC311" s="30"/>
      <c r="AD311" s="30"/>
      <c r="AE311" s="67"/>
      <c r="AF311" s="30"/>
      <c r="AG311" s="30"/>
      <c r="AH311" s="30"/>
      <c r="AI311" s="30"/>
      <c r="AJ311" s="30"/>
      <c r="AK311" s="30"/>
      <c r="AL311" s="30"/>
      <c r="AM311" s="30"/>
      <c r="AN311" s="30"/>
      <c r="AO311" s="5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</row>
    <row r="312" spans="1:61" ht="15.5" x14ac:dyDescent="0.35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58"/>
      <c r="Z312" s="30"/>
      <c r="AA312" s="67"/>
      <c r="AB312" s="30"/>
      <c r="AC312" s="30"/>
      <c r="AD312" s="30"/>
      <c r="AE312" s="67"/>
      <c r="AF312" s="30"/>
      <c r="AG312" s="30"/>
      <c r="AH312" s="30"/>
      <c r="AI312" s="30"/>
      <c r="AJ312" s="30"/>
      <c r="AK312" s="30"/>
      <c r="AL312" s="30"/>
      <c r="AM312" s="30"/>
      <c r="AN312" s="30"/>
      <c r="AO312" s="5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</row>
    <row r="313" spans="1:61" ht="15.5" x14ac:dyDescent="0.35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58"/>
      <c r="Z313" s="30"/>
      <c r="AA313" s="67"/>
      <c r="AB313" s="30"/>
      <c r="AC313" s="30"/>
      <c r="AD313" s="30"/>
      <c r="AE313" s="67"/>
      <c r="AF313" s="30"/>
      <c r="AG313" s="30"/>
      <c r="AH313" s="30"/>
      <c r="AI313" s="30"/>
      <c r="AJ313" s="30"/>
      <c r="AK313" s="30"/>
      <c r="AL313" s="30"/>
      <c r="AM313" s="30"/>
      <c r="AN313" s="30"/>
      <c r="AO313" s="5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</row>
    <row r="314" spans="1:61" ht="15.5" x14ac:dyDescent="0.35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58"/>
      <c r="Z314" s="30"/>
      <c r="AA314" s="67"/>
      <c r="AB314" s="30"/>
      <c r="AC314" s="30"/>
      <c r="AD314" s="30"/>
      <c r="AE314" s="67"/>
      <c r="AF314" s="30"/>
      <c r="AG314" s="30"/>
      <c r="AH314" s="30"/>
      <c r="AI314" s="30"/>
      <c r="AJ314" s="30"/>
      <c r="AK314" s="30"/>
      <c r="AL314" s="30"/>
      <c r="AM314" s="30"/>
      <c r="AN314" s="30"/>
      <c r="AO314" s="5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</row>
    <row r="315" spans="1:61" ht="15.5" x14ac:dyDescent="0.3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58"/>
      <c r="Z315" s="30"/>
      <c r="AA315" s="67"/>
      <c r="AB315" s="30"/>
      <c r="AC315" s="30"/>
      <c r="AD315" s="30"/>
      <c r="AE315" s="67"/>
      <c r="AF315" s="30"/>
      <c r="AG315" s="30"/>
      <c r="AH315" s="30"/>
      <c r="AI315" s="30"/>
      <c r="AJ315" s="30"/>
      <c r="AK315" s="30"/>
      <c r="AL315" s="30"/>
      <c r="AM315" s="30"/>
      <c r="AN315" s="30"/>
      <c r="AO315" s="5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</row>
    <row r="316" spans="1:61" ht="15.5" x14ac:dyDescent="0.3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58"/>
      <c r="Z316" s="30"/>
      <c r="AA316" s="67"/>
      <c r="AB316" s="30"/>
      <c r="AC316" s="30"/>
      <c r="AD316" s="30"/>
      <c r="AE316" s="67"/>
      <c r="AF316" s="30"/>
      <c r="AG316" s="30"/>
      <c r="AH316" s="30"/>
      <c r="AI316" s="30"/>
      <c r="AJ316" s="30"/>
      <c r="AK316" s="30"/>
      <c r="AL316" s="30"/>
      <c r="AM316" s="30"/>
      <c r="AN316" s="30"/>
      <c r="AO316" s="5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</row>
    <row r="317" spans="1:61" ht="15.5" x14ac:dyDescent="0.35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58"/>
      <c r="Z317" s="30"/>
      <c r="AA317" s="67"/>
      <c r="AB317" s="30"/>
      <c r="AC317" s="30"/>
      <c r="AD317" s="30"/>
      <c r="AE317" s="67"/>
      <c r="AF317" s="30"/>
      <c r="AG317" s="30"/>
      <c r="AH317" s="30"/>
      <c r="AI317" s="30"/>
      <c r="AJ317" s="30"/>
      <c r="AK317" s="30"/>
      <c r="AL317" s="30"/>
      <c r="AM317" s="30"/>
      <c r="AN317" s="30"/>
      <c r="AO317" s="5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</row>
    <row r="318" spans="1:61" ht="15.5" x14ac:dyDescent="0.35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58"/>
      <c r="Z318" s="30"/>
      <c r="AA318" s="67"/>
      <c r="AB318" s="30"/>
      <c r="AC318" s="30"/>
      <c r="AD318" s="30"/>
      <c r="AE318" s="67"/>
      <c r="AF318" s="30"/>
      <c r="AG318" s="30"/>
      <c r="AH318" s="30"/>
      <c r="AI318" s="30"/>
      <c r="AJ318" s="30"/>
      <c r="AK318" s="30"/>
      <c r="AL318" s="30"/>
      <c r="AM318" s="30"/>
      <c r="AN318" s="30"/>
      <c r="AO318" s="5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</row>
    <row r="319" spans="1:61" ht="15.5" x14ac:dyDescent="0.35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58"/>
      <c r="Z319" s="30"/>
      <c r="AA319" s="67"/>
      <c r="AB319" s="30"/>
      <c r="AC319" s="30"/>
      <c r="AD319" s="30"/>
      <c r="AE319" s="67"/>
      <c r="AF319" s="30"/>
      <c r="AG319" s="30"/>
      <c r="AH319" s="30"/>
      <c r="AI319" s="30"/>
      <c r="AJ319" s="30"/>
      <c r="AK319" s="30"/>
      <c r="AL319" s="30"/>
      <c r="AM319" s="30"/>
      <c r="AN319" s="30"/>
      <c r="AO319" s="5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</row>
    <row r="320" spans="1:61" ht="15.5" x14ac:dyDescent="0.35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58"/>
      <c r="Z320" s="30"/>
      <c r="AA320" s="67"/>
      <c r="AB320" s="30"/>
      <c r="AC320" s="30"/>
      <c r="AD320" s="30"/>
      <c r="AE320" s="67"/>
      <c r="AF320" s="30"/>
      <c r="AG320" s="30"/>
      <c r="AH320" s="30"/>
      <c r="AI320" s="30"/>
      <c r="AJ320" s="30"/>
      <c r="AK320" s="30"/>
      <c r="AL320" s="30"/>
      <c r="AM320" s="30"/>
      <c r="AN320" s="30"/>
      <c r="AO320" s="5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</row>
    <row r="321" spans="1:61" ht="15.5" x14ac:dyDescent="0.35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58"/>
      <c r="Z321" s="30"/>
      <c r="AA321" s="67"/>
      <c r="AB321" s="30"/>
      <c r="AC321" s="30"/>
      <c r="AD321" s="30"/>
      <c r="AE321" s="67"/>
      <c r="AF321" s="30"/>
      <c r="AG321" s="30"/>
      <c r="AH321" s="30"/>
      <c r="AI321" s="30"/>
      <c r="AJ321" s="30"/>
      <c r="AK321" s="30"/>
      <c r="AL321" s="30"/>
      <c r="AM321" s="30"/>
      <c r="AN321" s="30"/>
      <c r="AO321" s="5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</row>
    <row r="322" spans="1:61" ht="15.5" x14ac:dyDescent="0.35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58"/>
      <c r="Z322" s="30"/>
      <c r="AA322" s="67"/>
      <c r="AB322" s="30"/>
      <c r="AC322" s="30"/>
      <c r="AD322" s="30"/>
      <c r="AE322" s="67"/>
      <c r="AF322" s="30"/>
      <c r="AG322" s="30"/>
      <c r="AH322" s="30"/>
      <c r="AI322" s="30"/>
      <c r="AJ322" s="30"/>
      <c r="AK322" s="30"/>
      <c r="AL322" s="30"/>
      <c r="AM322" s="30"/>
      <c r="AN322" s="30"/>
      <c r="AO322" s="5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</row>
    <row r="323" spans="1:61" ht="15.5" x14ac:dyDescent="0.3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58"/>
      <c r="Z323" s="30"/>
      <c r="AA323" s="67"/>
      <c r="AB323" s="30"/>
      <c r="AC323" s="30"/>
      <c r="AD323" s="30"/>
      <c r="AE323" s="67"/>
      <c r="AF323" s="30"/>
      <c r="AG323" s="30"/>
      <c r="AH323" s="30"/>
      <c r="AI323" s="30"/>
      <c r="AJ323" s="30"/>
      <c r="AK323" s="30"/>
      <c r="AL323" s="30"/>
      <c r="AM323" s="30"/>
      <c r="AN323" s="30"/>
      <c r="AO323" s="5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</row>
    <row r="324" spans="1:61" ht="15.5" x14ac:dyDescent="0.35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58"/>
      <c r="Z324" s="30"/>
      <c r="AA324" s="67"/>
      <c r="AB324" s="30"/>
      <c r="AC324" s="30"/>
      <c r="AD324" s="30"/>
      <c r="AE324" s="67"/>
      <c r="AF324" s="30"/>
      <c r="AG324" s="30"/>
      <c r="AH324" s="30"/>
      <c r="AI324" s="30"/>
      <c r="AJ324" s="30"/>
      <c r="AK324" s="30"/>
      <c r="AL324" s="30"/>
      <c r="AM324" s="30"/>
      <c r="AN324" s="30"/>
      <c r="AO324" s="5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</row>
    <row r="325" spans="1:61" ht="15.5" x14ac:dyDescent="0.3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58"/>
      <c r="Z325" s="30"/>
      <c r="AA325" s="67"/>
      <c r="AB325" s="30"/>
      <c r="AC325" s="30"/>
      <c r="AD325" s="30"/>
      <c r="AE325" s="67"/>
      <c r="AF325" s="30"/>
      <c r="AG325" s="30"/>
      <c r="AH325" s="30"/>
      <c r="AI325" s="30"/>
      <c r="AJ325" s="30"/>
      <c r="AK325" s="30"/>
      <c r="AL325" s="30"/>
      <c r="AM325" s="30"/>
      <c r="AN325" s="30"/>
      <c r="AO325" s="5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</row>
    <row r="326" spans="1:61" ht="15.5" x14ac:dyDescent="0.3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58"/>
      <c r="Z326" s="30"/>
      <c r="AA326" s="67"/>
      <c r="AB326" s="30"/>
      <c r="AC326" s="30"/>
      <c r="AD326" s="30"/>
      <c r="AE326" s="67"/>
      <c r="AF326" s="30"/>
      <c r="AG326" s="30"/>
      <c r="AH326" s="30"/>
      <c r="AI326" s="30"/>
      <c r="AJ326" s="30"/>
      <c r="AK326" s="30"/>
      <c r="AL326" s="30"/>
      <c r="AM326" s="30"/>
      <c r="AN326" s="30"/>
      <c r="AO326" s="5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</row>
    <row r="327" spans="1:61" ht="15.5" x14ac:dyDescent="0.35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58"/>
      <c r="Z327" s="30"/>
      <c r="AA327" s="67"/>
      <c r="AB327" s="30"/>
      <c r="AC327" s="30"/>
      <c r="AD327" s="30"/>
      <c r="AE327" s="67"/>
      <c r="AF327" s="30"/>
      <c r="AG327" s="30"/>
      <c r="AH327" s="30"/>
      <c r="AI327" s="30"/>
      <c r="AJ327" s="30"/>
      <c r="AK327" s="30"/>
      <c r="AL327" s="30"/>
      <c r="AM327" s="30"/>
      <c r="AN327" s="30"/>
      <c r="AO327" s="5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</row>
    <row r="328" spans="1:61" ht="15.5" x14ac:dyDescent="0.35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58"/>
      <c r="Z328" s="30"/>
      <c r="AA328" s="67"/>
      <c r="AB328" s="30"/>
      <c r="AC328" s="30"/>
      <c r="AD328" s="30"/>
      <c r="AE328" s="67"/>
      <c r="AF328" s="30"/>
      <c r="AG328" s="30"/>
      <c r="AH328" s="30"/>
      <c r="AI328" s="30"/>
      <c r="AJ328" s="30"/>
      <c r="AK328" s="30"/>
      <c r="AL328" s="30"/>
      <c r="AM328" s="30"/>
      <c r="AN328" s="30"/>
      <c r="AO328" s="5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</row>
    <row r="329" spans="1:61" ht="15.5" x14ac:dyDescent="0.35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58"/>
      <c r="Z329" s="30"/>
      <c r="AA329" s="67"/>
      <c r="AB329" s="30"/>
      <c r="AC329" s="30"/>
      <c r="AD329" s="30"/>
      <c r="AE329" s="67"/>
      <c r="AF329" s="30"/>
      <c r="AG329" s="30"/>
      <c r="AH329" s="30"/>
      <c r="AI329" s="30"/>
      <c r="AJ329" s="30"/>
      <c r="AK329" s="30"/>
      <c r="AL329" s="30"/>
      <c r="AM329" s="30"/>
      <c r="AN329" s="30"/>
      <c r="AO329" s="5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</row>
    <row r="330" spans="1:61" ht="15.5" x14ac:dyDescent="0.3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58"/>
      <c r="Z330" s="30"/>
      <c r="AA330" s="67"/>
      <c r="AB330" s="30"/>
      <c r="AC330" s="30"/>
      <c r="AD330" s="30"/>
      <c r="AE330" s="67"/>
      <c r="AF330" s="30"/>
      <c r="AG330" s="30"/>
      <c r="AH330" s="30"/>
      <c r="AI330" s="30"/>
      <c r="AJ330" s="30"/>
      <c r="AK330" s="30"/>
      <c r="AL330" s="30"/>
      <c r="AM330" s="30"/>
      <c r="AN330" s="30"/>
      <c r="AO330" s="5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</row>
    <row r="331" spans="1:61" ht="15.5" x14ac:dyDescent="0.35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58"/>
      <c r="Z331" s="30"/>
      <c r="AA331" s="67"/>
      <c r="AB331" s="30"/>
      <c r="AC331" s="30"/>
      <c r="AD331" s="30"/>
      <c r="AE331" s="67"/>
      <c r="AF331" s="30"/>
      <c r="AG331" s="30"/>
      <c r="AH331" s="30"/>
      <c r="AI331" s="30"/>
      <c r="AJ331" s="30"/>
      <c r="AK331" s="30"/>
      <c r="AL331" s="30"/>
      <c r="AM331" s="30"/>
      <c r="AN331" s="30"/>
      <c r="AO331" s="5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</row>
    <row r="332" spans="1:61" ht="15.5" x14ac:dyDescent="0.35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58"/>
      <c r="Z332" s="30"/>
      <c r="AA332" s="67"/>
      <c r="AB332" s="30"/>
      <c r="AC332" s="30"/>
      <c r="AD332" s="30"/>
      <c r="AE332" s="67"/>
      <c r="AF332" s="30"/>
      <c r="AG332" s="30"/>
      <c r="AH332" s="30"/>
      <c r="AI332" s="30"/>
      <c r="AJ332" s="30"/>
      <c r="AK332" s="30"/>
      <c r="AL332" s="30"/>
      <c r="AM332" s="30"/>
      <c r="AN332" s="30"/>
      <c r="AO332" s="5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</row>
    <row r="333" spans="1:61" ht="15.5" x14ac:dyDescent="0.35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58"/>
      <c r="Z333" s="30"/>
      <c r="AA333" s="67"/>
      <c r="AB333" s="30"/>
      <c r="AC333" s="30"/>
      <c r="AD333" s="30"/>
      <c r="AE333" s="67"/>
      <c r="AF333" s="30"/>
      <c r="AG333" s="30"/>
      <c r="AH333" s="30"/>
      <c r="AI333" s="30"/>
      <c r="AJ333" s="30"/>
      <c r="AK333" s="30"/>
      <c r="AL333" s="30"/>
      <c r="AM333" s="30"/>
      <c r="AN333" s="30"/>
      <c r="AO333" s="5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</row>
    <row r="334" spans="1:61" ht="15.5" x14ac:dyDescent="0.35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58"/>
      <c r="Z334" s="30"/>
      <c r="AA334" s="67"/>
      <c r="AB334" s="30"/>
      <c r="AC334" s="30"/>
      <c r="AD334" s="30"/>
      <c r="AE334" s="67"/>
      <c r="AF334" s="30"/>
      <c r="AG334" s="30"/>
      <c r="AH334" s="30"/>
      <c r="AI334" s="30"/>
      <c r="AJ334" s="30"/>
      <c r="AK334" s="30"/>
      <c r="AL334" s="30"/>
      <c r="AM334" s="30"/>
      <c r="AN334" s="30"/>
      <c r="AO334" s="5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</row>
    <row r="335" spans="1:61" ht="15.5" x14ac:dyDescent="0.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58"/>
      <c r="Z335" s="30"/>
      <c r="AA335" s="67"/>
      <c r="AB335" s="30"/>
      <c r="AC335" s="30"/>
      <c r="AD335" s="30"/>
      <c r="AE335" s="67"/>
      <c r="AF335" s="30"/>
      <c r="AG335" s="30"/>
      <c r="AH335" s="30"/>
      <c r="AI335" s="30"/>
      <c r="AJ335" s="30"/>
      <c r="AK335" s="30"/>
      <c r="AL335" s="30"/>
      <c r="AM335" s="30"/>
      <c r="AN335" s="30"/>
      <c r="AO335" s="5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</row>
    <row r="336" spans="1:61" ht="15.5" x14ac:dyDescent="0.35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58"/>
      <c r="Z336" s="30"/>
      <c r="AA336" s="67"/>
      <c r="AB336" s="30"/>
      <c r="AC336" s="30"/>
      <c r="AD336" s="30"/>
      <c r="AE336" s="67"/>
      <c r="AF336" s="30"/>
      <c r="AG336" s="30"/>
      <c r="AH336" s="30"/>
      <c r="AI336" s="30"/>
      <c r="AJ336" s="30"/>
      <c r="AK336" s="30"/>
      <c r="AL336" s="30"/>
      <c r="AM336" s="30"/>
      <c r="AN336" s="30"/>
      <c r="AO336" s="5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</row>
    <row r="337" spans="1:61" ht="15.5" x14ac:dyDescent="0.3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58"/>
      <c r="Z337" s="30"/>
      <c r="AA337" s="67"/>
      <c r="AB337" s="30"/>
      <c r="AC337" s="30"/>
      <c r="AD337" s="30"/>
      <c r="AE337" s="67"/>
      <c r="AF337" s="30"/>
      <c r="AG337" s="30"/>
      <c r="AH337" s="30"/>
      <c r="AI337" s="30"/>
      <c r="AJ337" s="30"/>
      <c r="AK337" s="30"/>
      <c r="AL337" s="30"/>
      <c r="AM337" s="30"/>
      <c r="AN337" s="30"/>
      <c r="AO337" s="5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</row>
    <row r="338" spans="1:61" ht="15.5" x14ac:dyDescent="0.35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58"/>
      <c r="Z338" s="30"/>
      <c r="AA338" s="67"/>
      <c r="AB338" s="30"/>
      <c r="AC338" s="30"/>
      <c r="AD338" s="30"/>
      <c r="AE338" s="67"/>
      <c r="AF338" s="30"/>
      <c r="AG338" s="30"/>
      <c r="AH338" s="30"/>
      <c r="AI338" s="30"/>
      <c r="AJ338" s="30"/>
      <c r="AK338" s="30"/>
      <c r="AL338" s="30"/>
      <c r="AM338" s="30"/>
      <c r="AN338" s="30"/>
      <c r="AO338" s="5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</row>
    <row r="339" spans="1:61" ht="15.5" x14ac:dyDescent="0.35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58"/>
      <c r="Z339" s="30"/>
      <c r="AA339" s="67"/>
      <c r="AB339" s="30"/>
      <c r="AC339" s="30"/>
      <c r="AD339" s="30"/>
      <c r="AE339" s="67"/>
      <c r="AF339" s="30"/>
      <c r="AG339" s="30"/>
      <c r="AH339" s="30"/>
      <c r="AI339" s="30"/>
      <c r="AJ339" s="30"/>
      <c r="AK339" s="30"/>
      <c r="AL339" s="30"/>
      <c r="AM339" s="30"/>
      <c r="AN339" s="30"/>
      <c r="AO339" s="5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</row>
    <row r="340" spans="1:61" ht="15.5" x14ac:dyDescent="0.35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58"/>
      <c r="Z340" s="30"/>
      <c r="AA340" s="67"/>
      <c r="AB340" s="30"/>
      <c r="AC340" s="30"/>
      <c r="AD340" s="30"/>
      <c r="AE340" s="67"/>
      <c r="AF340" s="30"/>
      <c r="AG340" s="30"/>
      <c r="AH340" s="30"/>
      <c r="AI340" s="30"/>
      <c r="AJ340" s="30"/>
      <c r="AK340" s="30"/>
      <c r="AL340" s="30"/>
      <c r="AM340" s="30"/>
      <c r="AN340" s="30"/>
      <c r="AO340" s="5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</row>
    <row r="341" spans="1:61" ht="15.5" x14ac:dyDescent="0.35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58"/>
      <c r="Z341" s="30"/>
      <c r="AA341" s="67"/>
      <c r="AB341" s="30"/>
      <c r="AC341" s="30"/>
      <c r="AD341" s="30"/>
      <c r="AE341" s="67"/>
      <c r="AF341" s="30"/>
      <c r="AG341" s="30"/>
      <c r="AH341" s="30"/>
      <c r="AI341" s="30"/>
      <c r="AJ341" s="30"/>
      <c r="AK341" s="30"/>
      <c r="AL341" s="30"/>
      <c r="AM341" s="30"/>
      <c r="AN341" s="30"/>
      <c r="AO341" s="5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</row>
    <row r="342" spans="1:61" ht="15.5" x14ac:dyDescent="0.35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58"/>
      <c r="Z342" s="30"/>
      <c r="AA342" s="67"/>
      <c r="AB342" s="30"/>
      <c r="AC342" s="30"/>
      <c r="AD342" s="30"/>
      <c r="AE342" s="67"/>
      <c r="AF342" s="30"/>
      <c r="AG342" s="30"/>
      <c r="AH342" s="30"/>
      <c r="AI342" s="30"/>
      <c r="AJ342" s="30"/>
      <c r="AK342" s="30"/>
      <c r="AL342" s="30"/>
      <c r="AM342" s="30"/>
      <c r="AN342" s="30"/>
      <c r="AO342" s="5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</row>
    <row r="343" spans="1:61" ht="15.5" x14ac:dyDescent="0.35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58"/>
      <c r="Z343" s="30"/>
      <c r="AA343" s="67"/>
      <c r="AB343" s="30"/>
      <c r="AC343" s="30"/>
      <c r="AD343" s="30"/>
      <c r="AE343" s="67"/>
      <c r="AF343" s="30"/>
      <c r="AG343" s="30"/>
      <c r="AH343" s="30"/>
      <c r="AI343" s="30"/>
      <c r="AJ343" s="30"/>
      <c r="AK343" s="30"/>
      <c r="AL343" s="30"/>
      <c r="AM343" s="30"/>
      <c r="AN343" s="30"/>
      <c r="AO343" s="5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</row>
    <row r="344" spans="1:61" ht="15.5" x14ac:dyDescent="0.3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58"/>
      <c r="Z344" s="30"/>
      <c r="AA344" s="67"/>
      <c r="AB344" s="30"/>
      <c r="AC344" s="30"/>
      <c r="AD344" s="30"/>
      <c r="AE344" s="67"/>
      <c r="AF344" s="30"/>
      <c r="AG344" s="30"/>
      <c r="AH344" s="30"/>
      <c r="AI344" s="30"/>
      <c r="AJ344" s="30"/>
      <c r="AK344" s="30"/>
      <c r="AL344" s="30"/>
      <c r="AM344" s="30"/>
      <c r="AN344" s="30"/>
      <c r="AO344" s="5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</row>
    <row r="345" spans="1:61" ht="15.5" x14ac:dyDescent="0.3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58"/>
      <c r="Z345" s="30"/>
      <c r="AA345" s="67"/>
      <c r="AB345" s="30"/>
      <c r="AC345" s="30"/>
      <c r="AD345" s="30"/>
      <c r="AE345" s="67"/>
      <c r="AF345" s="30"/>
      <c r="AG345" s="30"/>
      <c r="AH345" s="30"/>
      <c r="AI345" s="30"/>
      <c r="AJ345" s="30"/>
      <c r="AK345" s="30"/>
      <c r="AL345" s="30"/>
      <c r="AM345" s="30"/>
      <c r="AN345" s="30"/>
      <c r="AO345" s="5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</row>
    <row r="346" spans="1:61" ht="15.5" x14ac:dyDescent="0.35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58"/>
      <c r="Z346" s="30"/>
      <c r="AA346" s="67"/>
      <c r="AB346" s="30"/>
      <c r="AC346" s="30"/>
      <c r="AD346" s="30"/>
      <c r="AE346" s="67"/>
      <c r="AF346" s="30"/>
      <c r="AG346" s="30"/>
      <c r="AH346" s="30"/>
      <c r="AI346" s="30"/>
      <c r="AJ346" s="30"/>
      <c r="AK346" s="30"/>
      <c r="AL346" s="30"/>
      <c r="AM346" s="30"/>
      <c r="AN346" s="30"/>
      <c r="AO346" s="5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</row>
    <row r="347" spans="1:61" ht="15.5" x14ac:dyDescent="0.35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58"/>
      <c r="Z347" s="30"/>
      <c r="AA347" s="67"/>
      <c r="AB347" s="30"/>
      <c r="AC347" s="30"/>
      <c r="AD347" s="30"/>
      <c r="AE347" s="67"/>
      <c r="AF347" s="30"/>
      <c r="AG347" s="30"/>
      <c r="AH347" s="30"/>
      <c r="AI347" s="30"/>
      <c r="AJ347" s="30"/>
      <c r="AK347" s="30"/>
      <c r="AL347" s="30"/>
      <c r="AM347" s="30"/>
      <c r="AN347" s="30"/>
      <c r="AO347" s="5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</row>
    <row r="348" spans="1:61" ht="15.5" x14ac:dyDescent="0.35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58"/>
      <c r="Z348" s="30"/>
      <c r="AA348" s="67"/>
      <c r="AB348" s="30"/>
      <c r="AC348" s="30"/>
      <c r="AD348" s="30"/>
      <c r="AE348" s="67"/>
      <c r="AF348" s="30"/>
      <c r="AG348" s="30"/>
      <c r="AH348" s="30"/>
      <c r="AI348" s="30"/>
      <c r="AJ348" s="30"/>
      <c r="AK348" s="30"/>
      <c r="AL348" s="30"/>
      <c r="AM348" s="30"/>
      <c r="AN348" s="30"/>
      <c r="AO348" s="5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</row>
    <row r="349" spans="1:61" ht="15.5" x14ac:dyDescent="0.35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58"/>
      <c r="Z349" s="30"/>
      <c r="AA349" s="67"/>
      <c r="AB349" s="30"/>
      <c r="AC349" s="30"/>
      <c r="AD349" s="30"/>
      <c r="AE349" s="67"/>
      <c r="AF349" s="30"/>
      <c r="AG349" s="30"/>
      <c r="AH349" s="30"/>
      <c r="AI349" s="30"/>
      <c r="AJ349" s="30"/>
      <c r="AK349" s="30"/>
      <c r="AL349" s="30"/>
      <c r="AM349" s="30"/>
      <c r="AN349" s="30"/>
      <c r="AO349" s="5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</row>
    <row r="350" spans="1:61" ht="15.5" x14ac:dyDescent="0.35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58"/>
      <c r="Z350" s="30"/>
      <c r="AA350" s="67"/>
      <c r="AB350" s="30"/>
      <c r="AC350" s="30"/>
      <c r="AD350" s="30"/>
      <c r="AE350" s="67"/>
      <c r="AF350" s="30"/>
      <c r="AG350" s="30"/>
      <c r="AH350" s="30"/>
      <c r="AI350" s="30"/>
      <c r="AJ350" s="30"/>
      <c r="AK350" s="30"/>
      <c r="AL350" s="30"/>
      <c r="AM350" s="30"/>
      <c r="AN350" s="30"/>
      <c r="AO350" s="5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</row>
    <row r="351" spans="1:61" ht="15.5" x14ac:dyDescent="0.3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58"/>
      <c r="Z351" s="30"/>
      <c r="AA351" s="67"/>
      <c r="AB351" s="30"/>
      <c r="AC351" s="30"/>
      <c r="AD351" s="30"/>
      <c r="AE351" s="67"/>
      <c r="AF351" s="30"/>
      <c r="AG351" s="30"/>
      <c r="AH351" s="30"/>
      <c r="AI351" s="30"/>
      <c r="AJ351" s="30"/>
      <c r="AK351" s="30"/>
      <c r="AL351" s="30"/>
      <c r="AM351" s="30"/>
      <c r="AN351" s="30"/>
      <c r="AO351" s="5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</row>
    <row r="352" spans="1:61" ht="15.5" x14ac:dyDescent="0.35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58"/>
      <c r="Z352" s="30"/>
      <c r="AA352" s="67"/>
      <c r="AB352" s="30"/>
      <c r="AC352" s="30"/>
      <c r="AD352" s="30"/>
      <c r="AE352" s="67"/>
      <c r="AF352" s="30"/>
      <c r="AG352" s="30"/>
      <c r="AH352" s="30"/>
      <c r="AI352" s="30"/>
      <c r="AJ352" s="30"/>
      <c r="AK352" s="30"/>
      <c r="AL352" s="30"/>
      <c r="AM352" s="30"/>
      <c r="AN352" s="30"/>
      <c r="AO352" s="5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</row>
    <row r="353" spans="1:61" ht="15.5" x14ac:dyDescent="0.35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58"/>
      <c r="Z353" s="30"/>
      <c r="AA353" s="67"/>
      <c r="AB353" s="30"/>
      <c r="AC353" s="30"/>
      <c r="AD353" s="30"/>
      <c r="AE353" s="67"/>
      <c r="AF353" s="30"/>
      <c r="AG353" s="30"/>
      <c r="AH353" s="30"/>
      <c r="AI353" s="30"/>
      <c r="AJ353" s="30"/>
      <c r="AK353" s="30"/>
      <c r="AL353" s="30"/>
      <c r="AM353" s="30"/>
      <c r="AN353" s="30"/>
      <c r="AO353" s="5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</row>
    <row r="354" spans="1:61" ht="15.5" x14ac:dyDescent="0.35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58"/>
      <c r="Z354" s="30"/>
      <c r="AA354" s="67"/>
      <c r="AB354" s="30"/>
      <c r="AC354" s="30"/>
      <c r="AD354" s="30"/>
      <c r="AE354" s="67"/>
      <c r="AF354" s="30"/>
      <c r="AG354" s="30"/>
      <c r="AH354" s="30"/>
      <c r="AI354" s="30"/>
      <c r="AJ354" s="30"/>
      <c r="AK354" s="30"/>
      <c r="AL354" s="30"/>
      <c r="AM354" s="30"/>
      <c r="AN354" s="30"/>
      <c r="AO354" s="5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</row>
    <row r="355" spans="1:61" ht="15.5" x14ac:dyDescent="0.3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58"/>
      <c r="Z355" s="30"/>
      <c r="AA355" s="67"/>
      <c r="AB355" s="30"/>
      <c r="AC355" s="30"/>
      <c r="AD355" s="30"/>
      <c r="AE355" s="67"/>
      <c r="AF355" s="30"/>
      <c r="AG355" s="30"/>
      <c r="AH355" s="30"/>
      <c r="AI355" s="30"/>
      <c r="AJ355" s="30"/>
      <c r="AK355" s="30"/>
      <c r="AL355" s="30"/>
      <c r="AM355" s="30"/>
      <c r="AN355" s="30"/>
      <c r="AO355" s="5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</row>
    <row r="356" spans="1:61" ht="15.5" x14ac:dyDescent="0.35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58"/>
      <c r="Z356" s="30"/>
      <c r="AA356" s="67"/>
      <c r="AB356" s="30"/>
      <c r="AC356" s="30"/>
      <c r="AD356" s="30"/>
      <c r="AE356" s="67"/>
      <c r="AF356" s="30"/>
      <c r="AG356" s="30"/>
      <c r="AH356" s="30"/>
      <c r="AI356" s="30"/>
      <c r="AJ356" s="30"/>
      <c r="AK356" s="30"/>
      <c r="AL356" s="30"/>
      <c r="AM356" s="30"/>
      <c r="AN356" s="30"/>
      <c r="AO356" s="5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</row>
    <row r="357" spans="1:61" ht="15.5" x14ac:dyDescent="0.35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58"/>
      <c r="Z357" s="30"/>
      <c r="AA357" s="67"/>
      <c r="AB357" s="30"/>
      <c r="AC357" s="30"/>
      <c r="AD357" s="30"/>
      <c r="AE357" s="67"/>
      <c r="AF357" s="30"/>
      <c r="AG357" s="30"/>
      <c r="AH357" s="30"/>
      <c r="AI357" s="30"/>
      <c r="AJ357" s="30"/>
      <c r="AK357" s="30"/>
      <c r="AL357" s="30"/>
      <c r="AM357" s="30"/>
      <c r="AN357" s="30"/>
      <c r="AO357" s="5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</row>
    <row r="358" spans="1:61" ht="15.5" x14ac:dyDescent="0.3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58"/>
      <c r="Z358" s="30"/>
      <c r="AA358" s="67"/>
      <c r="AB358" s="30"/>
      <c r="AC358" s="30"/>
      <c r="AD358" s="30"/>
      <c r="AE358" s="67"/>
      <c r="AF358" s="30"/>
      <c r="AG358" s="30"/>
      <c r="AH358" s="30"/>
      <c r="AI358" s="30"/>
      <c r="AJ358" s="30"/>
      <c r="AK358" s="30"/>
      <c r="AL358" s="30"/>
      <c r="AM358" s="30"/>
      <c r="AN358" s="30"/>
      <c r="AO358" s="5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</row>
    <row r="359" spans="1:61" ht="15.5" x14ac:dyDescent="0.35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58"/>
      <c r="Z359" s="30"/>
      <c r="AA359" s="67"/>
      <c r="AB359" s="30"/>
      <c r="AC359" s="30"/>
      <c r="AD359" s="30"/>
      <c r="AE359" s="67"/>
      <c r="AF359" s="30"/>
      <c r="AG359" s="30"/>
      <c r="AH359" s="30"/>
      <c r="AI359" s="30"/>
      <c r="AJ359" s="30"/>
      <c r="AK359" s="30"/>
      <c r="AL359" s="30"/>
      <c r="AM359" s="30"/>
      <c r="AN359" s="30"/>
      <c r="AO359" s="5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</row>
    <row r="360" spans="1:61" ht="15.5" x14ac:dyDescent="0.35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58"/>
      <c r="Z360" s="30"/>
      <c r="AA360" s="67"/>
      <c r="AB360" s="30"/>
      <c r="AC360" s="30"/>
      <c r="AD360" s="30"/>
      <c r="AE360" s="67"/>
      <c r="AF360" s="30"/>
      <c r="AG360" s="30"/>
      <c r="AH360" s="30"/>
      <c r="AI360" s="30"/>
      <c r="AJ360" s="30"/>
      <c r="AK360" s="30"/>
      <c r="AL360" s="30"/>
      <c r="AM360" s="30"/>
      <c r="AN360" s="30"/>
      <c r="AO360" s="5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</row>
    <row r="361" spans="1:61" ht="15.5" x14ac:dyDescent="0.35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58"/>
      <c r="Z361" s="30"/>
      <c r="AA361" s="67"/>
      <c r="AB361" s="30"/>
      <c r="AC361" s="30"/>
      <c r="AD361" s="30"/>
      <c r="AE361" s="67"/>
      <c r="AF361" s="30"/>
      <c r="AG361" s="30"/>
      <c r="AH361" s="30"/>
      <c r="AI361" s="30"/>
      <c r="AJ361" s="30"/>
      <c r="AK361" s="30"/>
      <c r="AL361" s="30"/>
      <c r="AM361" s="30"/>
      <c r="AN361" s="30"/>
      <c r="AO361" s="5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</row>
    <row r="362" spans="1:61" ht="15.5" x14ac:dyDescent="0.35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58"/>
      <c r="Z362" s="30"/>
      <c r="AA362" s="67"/>
      <c r="AB362" s="30"/>
      <c r="AC362" s="30"/>
      <c r="AD362" s="30"/>
      <c r="AE362" s="67"/>
      <c r="AF362" s="30"/>
      <c r="AG362" s="30"/>
      <c r="AH362" s="30"/>
      <c r="AI362" s="30"/>
      <c r="AJ362" s="30"/>
      <c r="AK362" s="30"/>
      <c r="AL362" s="30"/>
      <c r="AM362" s="30"/>
      <c r="AN362" s="30"/>
      <c r="AO362" s="5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</row>
    <row r="363" spans="1:61" ht="15.5" x14ac:dyDescent="0.35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58"/>
      <c r="Z363" s="30"/>
      <c r="AA363" s="67"/>
      <c r="AB363" s="30"/>
      <c r="AC363" s="30"/>
      <c r="AD363" s="30"/>
      <c r="AE363" s="67"/>
      <c r="AF363" s="30"/>
      <c r="AG363" s="30"/>
      <c r="AH363" s="30"/>
      <c r="AI363" s="30"/>
      <c r="AJ363" s="30"/>
      <c r="AK363" s="30"/>
      <c r="AL363" s="30"/>
      <c r="AM363" s="30"/>
      <c r="AN363" s="30"/>
      <c r="AO363" s="5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</row>
    <row r="364" spans="1:61" ht="15.5" x14ac:dyDescent="0.35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58"/>
      <c r="Z364" s="30"/>
      <c r="AA364" s="67"/>
      <c r="AB364" s="30"/>
      <c r="AC364" s="30"/>
      <c r="AD364" s="30"/>
      <c r="AE364" s="67"/>
      <c r="AF364" s="30"/>
      <c r="AG364" s="30"/>
      <c r="AH364" s="30"/>
      <c r="AI364" s="30"/>
      <c r="AJ364" s="30"/>
      <c r="AK364" s="30"/>
      <c r="AL364" s="30"/>
      <c r="AM364" s="30"/>
      <c r="AN364" s="30"/>
      <c r="AO364" s="5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</row>
    <row r="365" spans="1:61" ht="15.5" x14ac:dyDescent="0.3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58"/>
      <c r="Z365" s="30"/>
      <c r="AA365" s="67"/>
      <c r="AB365" s="30"/>
      <c r="AC365" s="30"/>
      <c r="AD365" s="30"/>
      <c r="AE365" s="67"/>
      <c r="AF365" s="30"/>
      <c r="AG365" s="30"/>
      <c r="AH365" s="30"/>
      <c r="AI365" s="30"/>
      <c r="AJ365" s="30"/>
      <c r="AK365" s="30"/>
      <c r="AL365" s="30"/>
      <c r="AM365" s="30"/>
      <c r="AN365" s="30"/>
      <c r="AO365" s="5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</row>
    <row r="366" spans="1:61" ht="15.5" x14ac:dyDescent="0.35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58"/>
      <c r="Z366" s="30"/>
      <c r="AA366" s="67"/>
      <c r="AB366" s="30"/>
      <c r="AC366" s="30"/>
      <c r="AD366" s="30"/>
      <c r="AE366" s="67"/>
      <c r="AF366" s="30"/>
      <c r="AG366" s="30"/>
      <c r="AH366" s="30"/>
      <c r="AI366" s="30"/>
      <c r="AJ366" s="30"/>
      <c r="AK366" s="30"/>
      <c r="AL366" s="30"/>
      <c r="AM366" s="30"/>
      <c r="AN366" s="30"/>
      <c r="AO366" s="5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</row>
    <row r="367" spans="1:61" ht="15.5" x14ac:dyDescent="0.35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58"/>
      <c r="Z367" s="30"/>
      <c r="AA367" s="67"/>
      <c r="AB367" s="30"/>
      <c r="AC367" s="30"/>
      <c r="AD367" s="30"/>
      <c r="AE367" s="67"/>
      <c r="AF367" s="30"/>
      <c r="AG367" s="30"/>
      <c r="AH367" s="30"/>
      <c r="AI367" s="30"/>
      <c r="AJ367" s="30"/>
      <c r="AK367" s="30"/>
      <c r="AL367" s="30"/>
      <c r="AM367" s="30"/>
      <c r="AN367" s="30"/>
      <c r="AO367" s="5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</row>
    <row r="368" spans="1:61" ht="15.5" x14ac:dyDescent="0.35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58"/>
      <c r="Z368" s="30"/>
      <c r="AA368" s="67"/>
      <c r="AB368" s="30"/>
      <c r="AC368" s="30"/>
      <c r="AD368" s="30"/>
      <c r="AE368" s="67"/>
      <c r="AF368" s="30"/>
      <c r="AG368" s="30"/>
      <c r="AH368" s="30"/>
      <c r="AI368" s="30"/>
      <c r="AJ368" s="30"/>
      <c r="AK368" s="30"/>
      <c r="AL368" s="30"/>
      <c r="AM368" s="30"/>
      <c r="AN368" s="30"/>
      <c r="AO368" s="5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</row>
    <row r="369" spans="1:61" ht="15.5" x14ac:dyDescent="0.35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58"/>
      <c r="Z369" s="30"/>
      <c r="AA369" s="67"/>
      <c r="AB369" s="30"/>
      <c r="AC369" s="30"/>
      <c r="AD369" s="30"/>
      <c r="AE369" s="67"/>
      <c r="AF369" s="30"/>
      <c r="AG369" s="30"/>
      <c r="AH369" s="30"/>
      <c r="AI369" s="30"/>
      <c r="AJ369" s="30"/>
      <c r="AK369" s="30"/>
      <c r="AL369" s="30"/>
      <c r="AM369" s="30"/>
      <c r="AN369" s="30"/>
      <c r="AO369" s="5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</row>
    <row r="370" spans="1:61" ht="15.5" x14ac:dyDescent="0.35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58"/>
      <c r="Z370" s="30"/>
      <c r="AA370" s="67"/>
      <c r="AB370" s="30"/>
      <c r="AC370" s="30"/>
      <c r="AD370" s="30"/>
      <c r="AE370" s="67"/>
      <c r="AF370" s="30"/>
      <c r="AG370" s="30"/>
      <c r="AH370" s="30"/>
      <c r="AI370" s="30"/>
      <c r="AJ370" s="30"/>
      <c r="AK370" s="30"/>
      <c r="AL370" s="30"/>
      <c r="AM370" s="30"/>
      <c r="AN370" s="30"/>
      <c r="AO370" s="5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</row>
    <row r="371" spans="1:61" ht="15.5" x14ac:dyDescent="0.35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58"/>
      <c r="Z371" s="30"/>
      <c r="AA371" s="67"/>
      <c r="AB371" s="30"/>
      <c r="AC371" s="30"/>
      <c r="AD371" s="30"/>
      <c r="AE371" s="67"/>
      <c r="AF371" s="30"/>
      <c r="AG371" s="30"/>
      <c r="AH371" s="30"/>
      <c r="AI371" s="30"/>
      <c r="AJ371" s="30"/>
      <c r="AK371" s="30"/>
      <c r="AL371" s="30"/>
      <c r="AM371" s="30"/>
      <c r="AN371" s="30"/>
      <c r="AO371" s="5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</row>
    <row r="372" spans="1:61" ht="15.5" x14ac:dyDescent="0.3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58"/>
      <c r="Z372" s="30"/>
      <c r="AA372" s="67"/>
      <c r="AB372" s="30"/>
      <c r="AC372" s="30"/>
      <c r="AD372" s="30"/>
      <c r="AE372" s="67"/>
      <c r="AF372" s="30"/>
      <c r="AG372" s="30"/>
      <c r="AH372" s="30"/>
      <c r="AI372" s="30"/>
      <c r="AJ372" s="30"/>
      <c r="AK372" s="30"/>
      <c r="AL372" s="30"/>
      <c r="AM372" s="30"/>
      <c r="AN372" s="30"/>
      <c r="AO372" s="5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</row>
    <row r="373" spans="1:61" ht="15.5" x14ac:dyDescent="0.35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58"/>
      <c r="Z373" s="30"/>
      <c r="AA373" s="67"/>
      <c r="AB373" s="30"/>
      <c r="AC373" s="30"/>
      <c r="AD373" s="30"/>
      <c r="AE373" s="67"/>
      <c r="AF373" s="30"/>
      <c r="AG373" s="30"/>
      <c r="AH373" s="30"/>
      <c r="AI373" s="30"/>
      <c r="AJ373" s="30"/>
      <c r="AK373" s="30"/>
      <c r="AL373" s="30"/>
      <c r="AM373" s="30"/>
      <c r="AN373" s="30"/>
      <c r="AO373" s="5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</row>
    <row r="374" spans="1:61" ht="15.5" x14ac:dyDescent="0.35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58"/>
      <c r="Z374" s="30"/>
      <c r="AA374" s="67"/>
      <c r="AB374" s="30"/>
      <c r="AC374" s="30"/>
      <c r="AD374" s="30"/>
      <c r="AE374" s="67"/>
      <c r="AF374" s="30"/>
      <c r="AG374" s="30"/>
      <c r="AH374" s="30"/>
      <c r="AI374" s="30"/>
      <c r="AJ374" s="30"/>
      <c r="AK374" s="30"/>
      <c r="AL374" s="30"/>
      <c r="AM374" s="30"/>
      <c r="AN374" s="30"/>
      <c r="AO374" s="5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</row>
    <row r="375" spans="1:61" ht="15.5" x14ac:dyDescent="0.3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58"/>
      <c r="Z375" s="30"/>
      <c r="AA375" s="67"/>
      <c r="AB375" s="30"/>
      <c r="AC375" s="30"/>
      <c r="AD375" s="30"/>
      <c r="AE375" s="67"/>
      <c r="AF375" s="30"/>
      <c r="AG375" s="30"/>
      <c r="AH375" s="30"/>
      <c r="AI375" s="30"/>
      <c r="AJ375" s="30"/>
      <c r="AK375" s="30"/>
      <c r="AL375" s="30"/>
      <c r="AM375" s="30"/>
      <c r="AN375" s="30"/>
      <c r="AO375" s="5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</row>
    <row r="376" spans="1:61" ht="15.5" x14ac:dyDescent="0.35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58"/>
      <c r="Z376" s="30"/>
      <c r="AA376" s="67"/>
      <c r="AB376" s="30"/>
      <c r="AC376" s="30"/>
      <c r="AD376" s="30"/>
      <c r="AE376" s="67"/>
      <c r="AF376" s="30"/>
      <c r="AG376" s="30"/>
      <c r="AH376" s="30"/>
      <c r="AI376" s="30"/>
      <c r="AJ376" s="30"/>
      <c r="AK376" s="30"/>
      <c r="AL376" s="30"/>
      <c r="AM376" s="30"/>
      <c r="AN376" s="30"/>
      <c r="AO376" s="5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</row>
    <row r="377" spans="1:61" ht="15.5" x14ac:dyDescent="0.35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58"/>
      <c r="Z377" s="30"/>
      <c r="AA377" s="67"/>
      <c r="AB377" s="30"/>
      <c r="AC377" s="30"/>
      <c r="AD377" s="30"/>
      <c r="AE377" s="67"/>
      <c r="AF377" s="30"/>
      <c r="AG377" s="30"/>
      <c r="AH377" s="30"/>
      <c r="AI377" s="30"/>
      <c r="AJ377" s="30"/>
      <c r="AK377" s="30"/>
      <c r="AL377" s="30"/>
      <c r="AM377" s="30"/>
      <c r="AN377" s="30"/>
      <c r="AO377" s="5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</row>
    <row r="378" spans="1:61" ht="15.5" x14ac:dyDescent="0.35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58"/>
      <c r="Z378" s="30"/>
      <c r="AA378" s="67"/>
      <c r="AB378" s="30"/>
      <c r="AC378" s="30"/>
      <c r="AD378" s="30"/>
      <c r="AE378" s="67"/>
      <c r="AF378" s="30"/>
      <c r="AG378" s="30"/>
      <c r="AH378" s="30"/>
      <c r="AI378" s="30"/>
      <c r="AJ378" s="30"/>
      <c r="AK378" s="30"/>
      <c r="AL378" s="30"/>
      <c r="AM378" s="30"/>
      <c r="AN378" s="30"/>
      <c r="AO378" s="5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</row>
    <row r="379" spans="1:61" ht="15.5" x14ac:dyDescent="0.35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58"/>
      <c r="Z379" s="30"/>
      <c r="AA379" s="67"/>
      <c r="AB379" s="30"/>
      <c r="AC379" s="30"/>
      <c r="AD379" s="30"/>
      <c r="AE379" s="67"/>
      <c r="AF379" s="30"/>
      <c r="AG379" s="30"/>
      <c r="AH379" s="30"/>
      <c r="AI379" s="30"/>
      <c r="AJ379" s="30"/>
      <c r="AK379" s="30"/>
      <c r="AL379" s="30"/>
      <c r="AM379" s="30"/>
      <c r="AN379" s="30"/>
      <c r="AO379" s="5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</row>
    <row r="380" spans="1:61" ht="15.5" x14ac:dyDescent="0.35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58"/>
      <c r="Z380" s="30"/>
      <c r="AA380" s="67"/>
      <c r="AB380" s="30"/>
      <c r="AC380" s="30"/>
      <c r="AD380" s="30"/>
      <c r="AE380" s="67"/>
      <c r="AF380" s="30"/>
      <c r="AG380" s="30"/>
      <c r="AH380" s="30"/>
      <c r="AI380" s="30"/>
      <c r="AJ380" s="30"/>
      <c r="AK380" s="30"/>
      <c r="AL380" s="30"/>
      <c r="AM380" s="30"/>
      <c r="AN380" s="30"/>
      <c r="AO380" s="5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</row>
    <row r="381" spans="1:61" ht="15.5" x14ac:dyDescent="0.35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58"/>
      <c r="Z381" s="30"/>
      <c r="AA381" s="67"/>
      <c r="AB381" s="30"/>
      <c r="AC381" s="30"/>
      <c r="AD381" s="30"/>
      <c r="AE381" s="67"/>
      <c r="AF381" s="30"/>
      <c r="AG381" s="30"/>
      <c r="AH381" s="30"/>
      <c r="AI381" s="30"/>
      <c r="AJ381" s="30"/>
      <c r="AK381" s="30"/>
      <c r="AL381" s="30"/>
      <c r="AM381" s="30"/>
      <c r="AN381" s="30"/>
      <c r="AO381" s="5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</row>
    <row r="382" spans="1:61" ht="15.5" x14ac:dyDescent="0.35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58"/>
      <c r="Z382" s="30"/>
      <c r="AA382" s="67"/>
      <c r="AB382" s="30"/>
      <c r="AC382" s="30"/>
      <c r="AD382" s="30"/>
      <c r="AE382" s="67"/>
      <c r="AF382" s="30"/>
      <c r="AG382" s="30"/>
      <c r="AH382" s="30"/>
      <c r="AI382" s="30"/>
      <c r="AJ382" s="30"/>
      <c r="AK382" s="30"/>
      <c r="AL382" s="30"/>
      <c r="AM382" s="30"/>
      <c r="AN382" s="30"/>
      <c r="AO382" s="5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</row>
    <row r="383" spans="1:61" ht="15.5" x14ac:dyDescent="0.35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58"/>
      <c r="Z383" s="30"/>
      <c r="AA383" s="67"/>
      <c r="AB383" s="30"/>
      <c r="AC383" s="30"/>
      <c r="AD383" s="30"/>
      <c r="AE383" s="67"/>
      <c r="AF383" s="30"/>
      <c r="AG383" s="30"/>
      <c r="AH383" s="30"/>
      <c r="AI383" s="30"/>
      <c r="AJ383" s="30"/>
      <c r="AK383" s="30"/>
      <c r="AL383" s="30"/>
      <c r="AM383" s="30"/>
      <c r="AN383" s="30"/>
      <c r="AO383" s="5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</row>
    <row r="384" spans="1:61" ht="15.5" x14ac:dyDescent="0.35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58"/>
      <c r="Z384" s="30"/>
      <c r="AA384" s="67"/>
      <c r="AB384" s="30"/>
      <c r="AC384" s="30"/>
      <c r="AD384" s="30"/>
      <c r="AE384" s="67"/>
      <c r="AF384" s="30"/>
      <c r="AG384" s="30"/>
      <c r="AH384" s="30"/>
      <c r="AI384" s="30"/>
      <c r="AJ384" s="30"/>
      <c r="AK384" s="30"/>
      <c r="AL384" s="30"/>
      <c r="AM384" s="30"/>
      <c r="AN384" s="30"/>
      <c r="AO384" s="5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</row>
    <row r="385" spans="1:61" ht="15.5" x14ac:dyDescent="0.3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58"/>
      <c r="Z385" s="30"/>
      <c r="AA385" s="67"/>
      <c r="AB385" s="30"/>
      <c r="AC385" s="30"/>
      <c r="AD385" s="30"/>
      <c r="AE385" s="67"/>
      <c r="AF385" s="30"/>
      <c r="AG385" s="30"/>
      <c r="AH385" s="30"/>
      <c r="AI385" s="30"/>
      <c r="AJ385" s="30"/>
      <c r="AK385" s="30"/>
      <c r="AL385" s="30"/>
      <c r="AM385" s="30"/>
      <c r="AN385" s="30"/>
      <c r="AO385" s="5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</row>
    <row r="386" spans="1:61" ht="15.5" x14ac:dyDescent="0.3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58"/>
      <c r="Z386" s="30"/>
      <c r="AA386" s="67"/>
      <c r="AB386" s="30"/>
      <c r="AC386" s="30"/>
      <c r="AD386" s="30"/>
      <c r="AE386" s="67"/>
      <c r="AF386" s="30"/>
      <c r="AG386" s="30"/>
      <c r="AH386" s="30"/>
      <c r="AI386" s="30"/>
      <c r="AJ386" s="30"/>
      <c r="AK386" s="30"/>
      <c r="AL386" s="30"/>
      <c r="AM386" s="30"/>
      <c r="AN386" s="30"/>
      <c r="AO386" s="5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</row>
    <row r="387" spans="1:61" ht="15.5" x14ac:dyDescent="0.35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58"/>
      <c r="Z387" s="30"/>
      <c r="AA387" s="67"/>
      <c r="AB387" s="30"/>
      <c r="AC387" s="30"/>
      <c r="AD387" s="30"/>
      <c r="AE387" s="67"/>
      <c r="AF387" s="30"/>
      <c r="AG387" s="30"/>
      <c r="AH387" s="30"/>
      <c r="AI387" s="30"/>
      <c r="AJ387" s="30"/>
      <c r="AK387" s="30"/>
      <c r="AL387" s="30"/>
      <c r="AM387" s="30"/>
      <c r="AN387" s="30"/>
      <c r="AO387" s="5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</row>
    <row r="388" spans="1:61" ht="15.5" x14ac:dyDescent="0.35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58"/>
      <c r="Z388" s="30"/>
      <c r="AA388" s="67"/>
      <c r="AB388" s="30"/>
      <c r="AC388" s="30"/>
      <c r="AD388" s="30"/>
      <c r="AE388" s="67"/>
      <c r="AF388" s="30"/>
      <c r="AG388" s="30"/>
      <c r="AH388" s="30"/>
      <c r="AI388" s="30"/>
      <c r="AJ388" s="30"/>
      <c r="AK388" s="30"/>
      <c r="AL388" s="30"/>
      <c r="AM388" s="30"/>
      <c r="AN388" s="30"/>
      <c r="AO388" s="5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</row>
    <row r="389" spans="1:61" ht="15.5" x14ac:dyDescent="0.35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58"/>
      <c r="Z389" s="30"/>
      <c r="AA389" s="67"/>
      <c r="AB389" s="30"/>
      <c r="AC389" s="30"/>
      <c r="AD389" s="30"/>
      <c r="AE389" s="67"/>
      <c r="AF389" s="30"/>
      <c r="AG389" s="30"/>
      <c r="AH389" s="30"/>
      <c r="AI389" s="30"/>
      <c r="AJ389" s="30"/>
      <c r="AK389" s="30"/>
      <c r="AL389" s="30"/>
      <c r="AM389" s="30"/>
      <c r="AN389" s="30"/>
      <c r="AO389" s="5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</row>
    <row r="390" spans="1:61" ht="15.5" x14ac:dyDescent="0.3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58"/>
      <c r="Z390" s="30"/>
      <c r="AA390" s="67"/>
      <c r="AB390" s="30"/>
      <c r="AC390" s="30"/>
      <c r="AD390" s="30"/>
      <c r="AE390" s="67"/>
      <c r="AF390" s="30"/>
      <c r="AG390" s="30"/>
      <c r="AH390" s="30"/>
      <c r="AI390" s="30"/>
      <c r="AJ390" s="30"/>
      <c r="AK390" s="30"/>
      <c r="AL390" s="30"/>
      <c r="AM390" s="30"/>
      <c r="AN390" s="30"/>
      <c r="AO390" s="5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</row>
    <row r="391" spans="1:61" ht="15.5" x14ac:dyDescent="0.35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58"/>
      <c r="Z391" s="30"/>
      <c r="AA391" s="67"/>
      <c r="AB391" s="30"/>
      <c r="AC391" s="30"/>
      <c r="AD391" s="30"/>
      <c r="AE391" s="67"/>
      <c r="AF391" s="30"/>
      <c r="AG391" s="30"/>
      <c r="AH391" s="30"/>
      <c r="AI391" s="30"/>
      <c r="AJ391" s="30"/>
      <c r="AK391" s="30"/>
      <c r="AL391" s="30"/>
      <c r="AM391" s="30"/>
      <c r="AN391" s="30"/>
      <c r="AO391" s="5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</row>
    <row r="392" spans="1:61" ht="15.5" x14ac:dyDescent="0.35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58"/>
      <c r="Z392" s="30"/>
      <c r="AA392" s="67"/>
      <c r="AB392" s="30"/>
      <c r="AC392" s="30"/>
      <c r="AD392" s="30"/>
      <c r="AE392" s="67"/>
      <c r="AF392" s="30"/>
      <c r="AG392" s="30"/>
      <c r="AH392" s="30"/>
      <c r="AI392" s="30"/>
      <c r="AJ392" s="30"/>
      <c r="AK392" s="30"/>
      <c r="AL392" s="30"/>
      <c r="AM392" s="30"/>
      <c r="AN392" s="30"/>
      <c r="AO392" s="5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</row>
    <row r="393" spans="1:61" ht="15.5" x14ac:dyDescent="0.3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58"/>
      <c r="Z393" s="30"/>
      <c r="AA393" s="67"/>
      <c r="AB393" s="30"/>
      <c r="AC393" s="30"/>
      <c r="AD393" s="30"/>
      <c r="AE393" s="67"/>
      <c r="AF393" s="30"/>
      <c r="AG393" s="30"/>
      <c r="AH393" s="30"/>
      <c r="AI393" s="30"/>
      <c r="AJ393" s="30"/>
      <c r="AK393" s="30"/>
      <c r="AL393" s="30"/>
      <c r="AM393" s="30"/>
      <c r="AN393" s="30"/>
      <c r="AO393" s="5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</row>
    <row r="394" spans="1:61" ht="15.5" x14ac:dyDescent="0.35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58"/>
      <c r="Z394" s="30"/>
      <c r="AA394" s="67"/>
      <c r="AB394" s="30"/>
      <c r="AC394" s="30"/>
      <c r="AD394" s="30"/>
      <c r="AE394" s="67"/>
      <c r="AF394" s="30"/>
      <c r="AG394" s="30"/>
      <c r="AH394" s="30"/>
      <c r="AI394" s="30"/>
      <c r="AJ394" s="30"/>
      <c r="AK394" s="30"/>
      <c r="AL394" s="30"/>
      <c r="AM394" s="30"/>
      <c r="AN394" s="30"/>
      <c r="AO394" s="5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</row>
    <row r="395" spans="1:61" ht="15.5" x14ac:dyDescent="0.3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58"/>
      <c r="Z395" s="30"/>
      <c r="AA395" s="67"/>
      <c r="AB395" s="30"/>
      <c r="AC395" s="30"/>
      <c r="AD395" s="30"/>
      <c r="AE395" s="67"/>
      <c r="AF395" s="30"/>
      <c r="AG395" s="30"/>
      <c r="AH395" s="30"/>
      <c r="AI395" s="30"/>
      <c r="AJ395" s="30"/>
      <c r="AK395" s="30"/>
      <c r="AL395" s="30"/>
      <c r="AM395" s="30"/>
      <c r="AN395" s="30"/>
      <c r="AO395" s="5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</row>
    <row r="396" spans="1:61" ht="15.5" x14ac:dyDescent="0.35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58"/>
      <c r="Z396" s="30"/>
      <c r="AA396" s="67"/>
      <c r="AB396" s="30"/>
      <c r="AC396" s="30"/>
      <c r="AD396" s="30"/>
      <c r="AE396" s="67"/>
      <c r="AF396" s="30"/>
      <c r="AG396" s="30"/>
      <c r="AH396" s="30"/>
      <c r="AI396" s="30"/>
      <c r="AJ396" s="30"/>
      <c r="AK396" s="30"/>
      <c r="AL396" s="30"/>
      <c r="AM396" s="30"/>
      <c r="AN396" s="30"/>
      <c r="AO396" s="5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</row>
    <row r="397" spans="1:61" ht="15.5" x14ac:dyDescent="0.35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58"/>
      <c r="Z397" s="30"/>
      <c r="AA397" s="67"/>
      <c r="AB397" s="30"/>
      <c r="AC397" s="30"/>
      <c r="AD397" s="30"/>
      <c r="AE397" s="67"/>
      <c r="AF397" s="30"/>
      <c r="AG397" s="30"/>
      <c r="AH397" s="30"/>
      <c r="AI397" s="30"/>
      <c r="AJ397" s="30"/>
      <c r="AK397" s="30"/>
      <c r="AL397" s="30"/>
      <c r="AM397" s="30"/>
      <c r="AN397" s="30"/>
      <c r="AO397" s="5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</row>
    <row r="398" spans="1:61" ht="15.5" x14ac:dyDescent="0.35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58"/>
      <c r="Z398" s="30"/>
      <c r="AA398" s="67"/>
      <c r="AB398" s="30"/>
      <c r="AC398" s="30"/>
      <c r="AD398" s="30"/>
      <c r="AE398" s="67"/>
      <c r="AF398" s="30"/>
      <c r="AG398" s="30"/>
      <c r="AH398" s="30"/>
      <c r="AI398" s="30"/>
      <c r="AJ398" s="30"/>
      <c r="AK398" s="30"/>
      <c r="AL398" s="30"/>
      <c r="AM398" s="30"/>
      <c r="AN398" s="30"/>
      <c r="AO398" s="5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</row>
    <row r="399" spans="1:61" ht="15.5" x14ac:dyDescent="0.35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58"/>
      <c r="Z399" s="30"/>
      <c r="AA399" s="67"/>
      <c r="AB399" s="30"/>
      <c r="AC399" s="30"/>
      <c r="AD399" s="30"/>
      <c r="AE399" s="67"/>
      <c r="AF399" s="30"/>
      <c r="AG399" s="30"/>
      <c r="AH399" s="30"/>
      <c r="AI399" s="30"/>
      <c r="AJ399" s="30"/>
      <c r="AK399" s="30"/>
      <c r="AL399" s="30"/>
      <c r="AM399" s="30"/>
      <c r="AN399" s="30"/>
      <c r="AO399" s="5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</row>
    <row r="400" spans="1:61" ht="15.5" x14ac:dyDescent="0.3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58"/>
      <c r="Z400" s="30"/>
      <c r="AA400" s="67"/>
      <c r="AB400" s="30"/>
      <c r="AC400" s="30"/>
      <c r="AD400" s="30"/>
      <c r="AE400" s="67"/>
      <c r="AF400" s="30"/>
      <c r="AG400" s="30"/>
      <c r="AH400" s="30"/>
      <c r="AI400" s="30"/>
      <c r="AJ400" s="30"/>
      <c r="AK400" s="30"/>
      <c r="AL400" s="30"/>
      <c r="AM400" s="30"/>
      <c r="AN400" s="30"/>
      <c r="AO400" s="5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</row>
    <row r="401" spans="1:61" ht="15.5" x14ac:dyDescent="0.35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58"/>
      <c r="Z401" s="30"/>
      <c r="AA401" s="67"/>
      <c r="AB401" s="30"/>
      <c r="AC401" s="30"/>
      <c r="AD401" s="30"/>
      <c r="AE401" s="67"/>
      <c r="AF401" s="30"/>
      <c r="AG401" s="30"/>
      <c r="AH401" s="30"/>
      <c r="AI401" s="30"/>
      <c r="AJ401" s="30"/>
      <c r="AK401" s="30"/>
      <c r="AL401" s="30"/>
      <c r="AM401" s="30"/>
      <c r="AN401" s="30"/>
      <c r="AO401" s="5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</row>
    <row r="402" spans="1:61" ht="15.5" x14ac:dyDescent="0.35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58"/>
      <c r="Z402" s="30"/>
      <c r="AA402" s="67"/>
      <c r="AB402" s="30"/>
      <c r="AC402" s="30"/>
      <c r="AD402" s="30"/>
      <c r="AE402" s="67"/>
      <c r="AF402" s="30"/>
      <c r="AG402" s="30"/>
      <c r="AH402" s="30"/>
      <c r="AI402" s="30"/>
      <c r="AJ402" s="30"/>
      <c r="AK402" s="30"/>
      <c r="AL402" s="30"/>
      <c r="AM402" s="30"/>
      <c r="AN402" s="30"/>
      <c r="AO402" s="5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</row>
    <row r="403" spans="1:61" ht="15.5" x14ac:dyDescent="0.35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58"/>
      <c r="Z403" s="30"/>
      <c r="AA403" s="67"/>
      <c r="AB403" s="30"/>
      <c r="AC403" s="30"/>
      <c r="AD403" s="30"/>
      <c r="AE403" s="67"/>
      <c r="AF403" s="30"/>
      <c r="AG403" s="30"/>
      <c r="AH403" s="30"/>
      <c r="AI403" s="30"/>
      <c r="AJ403" s="30"/>
      <c r="AK403" s="30"/>
      <c r="AL403" s="30"/>
      <c r="AM403" s="30"/>
      <c r="AN403" s="30"/>
      <c r="AO403" s="5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</row>
    <row r="404" spans="1:61" ht="15.5" x14ac:dyDescent="0.35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58"/>
      <c r="Z404" s="30"/>
      <c r="AA404" s="67"/>
      <c r="AB404" s="30"/>
      <c r="AC404" s="30"/>
      <c r="AD404" s="30"/>
      <c r="AE404" s="67"/>
      <c r="AF404" s="30"/>
      <c r="AG404" s="30"/>
      <c r="AH404" s="30"/>
      <c r="AI404" s="30"/>
      <c r="AJ404" s="30"/>
      <c r="AK404" s="30"/>
      <c r="AL404" s="30"/>
      <c r="AM404" s="30"/>
      <c r="AN404" s="30"/>
      <c r="AO404" s="5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</row>
    <row r="405" spans="1:61" ht="15.5" x14ac:dyDescent="0.3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58"/>
      <c r="Z405" s="30"/>
      <c r="AA405" s="67"/>
      <c r="AB405" s="30"/>
      <c r="AC405" s="30"/>
      <c r="AD405" s="30"/>
      <c r="AE405" s="67"/>
      <c r="AF405" s="30"/>
      <c r="AG405" s="30"/>
      <c r="AH405" s="30"/>
      <c r="AI405" s="30"/>
      <c r="AJ405" s="30"/>
      <c r="AK405" s="30"/>
      <c r="AL405" s="30"/>
      <c r="AM405" s="30"/>
      <c r="AN405" s="30"/>
      <c r="AO405" s="5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</row>
    <row r="406" spans="1:61" ht="15.5" x14ac:dyDescent="0.35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58"/>
      <c r="Z406" s="30"/>
      <c r="AA406" s="67"/>
      <c r="AB406" s="30"/>
      <c r="AC406" s="30"/>
      <c r="AD406" s="30"/>
      <c r="AE406" s="67"/>
      <c r="AF406" s="30"/>
      <c r="AG406" s="30"/>
      <c r="AH406" s="30"/>
      <c r="AI406" s="30"/>
      <c r="AJ406" s="30"/>
      <c r="AK406" s="30"/>
      <c r="AL406" s="30"/>
      <c r="AM406" s="30"/>
      <c r="AN406" s="30"/>
      <c r="AO406" s="5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</row>
    <row r="407" spans="1:61" ht="15.5" x14ac:dyDescent="0.3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58"/>
      <c r="Z407" s="30"/>
      <c r="AA407" s="67"/>
      <c r="AB407" s="30"/>
      <c r="AC407" s="30"/>
      <c r="AD407" s="30"/>
      <c r="AE407" s="67"/>
      <c r="AF407" s="30"/>
      <c r="AG407" s="30"/>
      <c r="AH407" s="30"/>
      <c r="AI407" s="30"/>
      <c r="AJ407" s="30"/>
      <c r="AK407" s="30"/>
      <c r="AL407" s="30"/>
      <c r="AM407" s="30"/>
      <c r="AN407" s="30"/>
      <c r="AO407" s="5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</row>
    <row r="408" spans="1:61" ht="15.5" x14ac:dyDescent="0.35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58"/>
      <c r="Z408" s="30"/>
      <c r="AA408" s="67"/>
      <c r="AB408" s="30"/>
      <c r="AC408" s="30"/>
      <c r="AD408" s="30"/>
      <c r="AE408" s="67"/>
      <c r="AF408" s="30"/>
      <c r="AG408" s="30"/>
      <c r="AH408" s="30"/>
      <c r="AI408" s="30"/>
      <c r="AJ408" s="30"/>
      <c r="AK408" s="30"/>
      <c r="AL408" s="30"/>
      <c r="AM408" s="30"/>
      <c r="AN408" s="30"/>
      <c r="AO408" s="5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</row>
    <row r="409" spans="1:61" ht="15.5" x14ac:dyDescent="0.35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58"/>
      <c r="Z409" s="30"/>
      <c r="AA409" s="67"/>
      <c r="AB409" s="30"/>
      <c r="AC409" s="30"/>
      <c r="AD409" s="30"/>
      <c r="AE409" s="67"/>
      <c r="AF409" s="30"/>
      <c r="AG409" s="30"/>
      <c r="AH409" s="30"/>
      <c r="AI409" s="30"/>
      <c r="AJ409" s="30"/>
      <c r="AK409" s="30"/>
      <c r="AL409" s="30"/>
      <c r="AM409" s="30"/>
      <c r="AN409" s="30"/>
      <c r="AO409" s="5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</row>
    <row r="410" spans="1:61" ht="15.5" x14ac:dyDescent="0.35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58"/>
      <c r="Z410" s="30"/>
      <c r="AA410" s="67"/>
      <c r="AB410" s="30"/>
      <c r="AC410" s="30"/>
      <c r="AD410" s="30"/>
      <c r="AE410" s="67"/>
      <c r="AF410" s="30"/>
      <c r="AG410" s="30"/>
      <c r="AH410" s="30"/>
      <c r="AI410" s="30"/>
      <c r="AJ410" s="30"/>
      <c r="AK410" s="30"/>
      <c r="AL410" s="30"/>
      <c r="AM410" s="30"/>
      <c r="AN410" s="30"/>
      <c r="AO410" s="5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</row>
    <row r="411" spans="1:61" ht="15.5" x14ac:dyDescent="0.35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58"/>
      <c r="Z411" s="30"/>
      <c r="AA411" s="67"/>
      <c r="AB411" s="30"/>
      <c r="AC411" s="30"/>
      <c r="AD411" s="30"/>
      <c r="AE411" s="67"/>
      <c r="AF411" s="30"/>
      <c r="AG411" s="30"/>
      <c r="AH411" s="30"/>
      <c r="AI411" s="30"/>
      <c r="AJ411" s="30"/>
      <c r="AK411" s="30"/>
      <c r="AL411" s="30"/>
      <c r="AM411" s="30"/>
      <c r="AN411" s="30"/>
      <c r="AO411" s="5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</row>
    <row r="412" spans="1:61" ht="15.5" x14ac:dyDescent="0.35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58"/>
      <c r="Z412" s="30"/>
      <c r="AA412" s="67"/>
      <c r="AB412" s="30"/>
      <c r="AC412" s="30"/>
      <c r="AD412" s="30"/>
      <c r="AE412" s="67"/>
      <c r="AF412" s="30"/>
      <c r="AG412" s="30"/>
      <c r="AH412" s="30"/>
      <c r="AI412" s="30"/>
      <c r="AJ412" s="30"/>
      <c r="AK412" s="30"/>
      <c r="AL412" s="30"/>
      <c r="AM412" s="30"/>
      <c r="AN412" s="30"/>
      <c r="AO412" s="5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</row>
    <row r="413" spans="1:61" ht="15.5" x14ac:dyDescent="0.35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58"/>
      <c r="Z413" s="30"/>
      <c r="AA413" s="67"/>
      <c r="AB413" s="30"/>
      <c r="AC413" s="30"/>
      <c r="AD413" s="30"/>
      <c r="AE413" s="67"/>
      <c r="AF413" s="30"/>
      <c r="AG413" s="30"/>
      <c r="AH413" s="30"/>
      <c r="AI413" s="30"/>
      <c r="AJ413" s="30"/>
      <c r="AK413" s="30"/>
      <c r="AL413" s="30"/>
      <c r="AM413" s="30"/>
      <c r="AN413" s="30"/>
      <c r="AO413" s="5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</row>
    <row r="414" spans="1:61" ht="15.5" x14ac:dyDescent="0.3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58"/>
      <c r="Z414" s="30"/>
      <c r="AA414" s="67"/>
      <c r="AB414" s="30"/>
      <c r="AC414" s="30"/>
      <c r="AD414" s="30"/>
      <c r="AE414" s="67"/>
      <c r="AF414" s="30"/>
      <c r="AG414" s="30"/>
      <c r="AH414" s="30"/>
      <c r="AI414" s="30"/>
      <c r="AJ414" s="30"/>
      <c r="AK414" s="30"/>
      <c r="AL414" s="30"/>
      <c r="AM414" s="30"/>
      <c r="AN414" s="30"/>
      <c r="AO414" s="5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</row>
    <row r="415" spans="1:61" ht="15.5" x14ac:dyDescent="0.3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58"/>
      <c r="Z415" s="30"/>
      <c r="AA415" s="67"/>
      <c r="AB415" s="30"/>
      <c r="AC415" s="30"/>
      <c r="AD415" s="30"/>
      <c r="AE415" s="67"/>
      <c r="AF415" s="30"/>
      <c r="AG415" s="30"/>
      <c r="AH415" s="30"/>
      <c r="AI415" s="30"/>
      <c r="AJ415" s="30"/>
      <c r="AK415" s="30"/>
      <c r="AL415" s="30"/>
      <c r="AM415" s="30"/>
      <c r="AN415" s="30"/>
      <c r="AO415" s="5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</row>
    <row r="416" spans="1:61" ht="15.5" x14ac:dyDescent="0.35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58"/>
      <c r="Z416" s="30"/>
      <c r="AA416" s="67"/>
      <c r="AB416" s="30"/>
      <c r="AC416" s="30"/>
      <c r="AD416" s="30"/>
      <c r="AE416" s="67"/>
      <c r="AF416" s="30"/>
      <c r="AG416" s="30"/>
      <c r="AH416" s="30"/>
      <c r="AI416" s="30"/>
      <c r="AJ416" s="30"/>
      <c r="AK416" s="30"/>
      <c r="AL416" s="30"/>
      <c r="AM416" s="30"/>
      <c r="AN416" s="30"/>
      <c r="AO416" s="5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</row>
    <row r="417" spans="1:61" ht="15.5" x14ac:dyDescent="0.35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58"/>
      <c r="Z417" s="30"/>
      <c r="AA417" s="67"/>
      <c r="AB417" s="30"/>
      <c r="AC417" s="30"/>
      <c r="AD417" s="30"/>
      <c r="AE417" s="67"/>
      <c r="AF417" s="30"/>
      <c r="AG417" s="30"/>
      <c r="AH417" s="30"/>
      <c r="AI417" s="30"/>
      <c r="AJ417" s="30"/>
      <c r="AK417" s="30"/>
      <c r="AL417" s="30"/>
      <c r="AM417" s="30"/>
      <c r="AN417" s="30"/>
      <c r="AO417" s="5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</row>
    <row r="418" spans="1:61" ht="15.5" x14ac:dyDescent="0.35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58"/>
      <c r="Z418" s="30"/>
      <c r="AA418" s="67"/>
      <c r="AB418" s="30"/>
      <c r="AC418" s="30"/>
      <c r="AD418" s="30"/>
      <c r="AE418" s="67"/>
      <c r="AF418" s="30"/>
      <c r="AG418" s="30"/>
      <c r="AH418" s="30"/>
      <c r="AI418" s="30"/>
      <c r="AJ418" s="30"/>
      <c r="AK418" s="30"/>
      <c r="AL418" s="30"/>
      <c r="AM418" s="30"/>
      <c r="AN418" s="30"/>
      <c r="AO418" s="5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</row>
    <row r="419" spans="1:61" ht="15.5" x14ac:dyDescent="0.35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58"/>
      <c r="Z419" s="30"/>
      <c r="AA419" s="67"/>
      <c r="AB419" s="30"/>
      <c r="AC419" s="30"/>
      <c r="AD419" s="30"/>
      <c r="AE419" s="67"/>
      <c r="AF419" s="30"/>
      <c r="AG419" s="30"/>
      <c r="AH419" s="30"/>
      <c r="AI419" s="30"/>
      <c r="AJ419" s="30"/>
      <c r="AK419" s="30"/>
      <c r="AL419" s="30"/>
      <c r="AM419" s="30"/>
      <c r="AN419" s="30"/>
      <c r="AO419" s="5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</row>
    <row r="420" spans="1:61" ht="15.5" x14ac:dyDescent="0.35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58"/>
      <c r="Z420" s="30"/>
      <c r="AA420" s="67"/>
      <c r="AB420" s="30"/>
      <c r="AC420" s="30"/>
      <c r="AD420" s="30"/>
      <c r="AE420" s="67"/>
      <c r="AF420" s="30"/>
      <c r="AG420" s="30"/>
      <c r="AH420" s="30"/>
      <c r="AI420" s="30"/>
      <c r="AJ420" s="30"/>
      <c r="AK420" s="30"/>
      <c r="AL420" s="30"/>
      <c r="AM420" s="30"/>
      <c r="AN420" s="30"/>
      <c r="AO420" s="5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</row>
    <row r="421" spans="1:61" ht="15.5" x14ac:dyDescent="0.3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58"/>
      <c r="Z421" s="30"/>
      <c r="AA421" s="67"/>
      <c r="AB421" s="30"/>
      <c r="AC421" s="30"/>
      <c r="AD421" s="30"/>
      <c r="AE421" s="67"/>
      <c r="AF421" s="30"/>
      <c r="AG421" s="30"/>
      <c r="AH421" s="30"/>
      <c r="AI421" s="30"/>
      <c r="AJ421" s="30"/>
      <c r="AK421" s="30"/>
      <c r="AL421" s="30"/>
      <c r="AM421" s="30"/>
      <c r="AN421" s="30"/>
      <c r="AO421" s="5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</row>
    <row r="422" spans="1:61" ht="15.5" x14ac:dyDescent="0.35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58"/>
      <c r="Z422" s="30"/>
      <c r="AA422" s="67"/>
      <c r="AB422" s="30"/>
      <c r="AC422" s="30"/>
      <c r="AD422" s="30"/>
      <c r="AE422" s="67"/>
      <c r="AF422" s="30"/>
      <c r="AG422" s="30"/>
      <c r="AH422" s="30"/>
      <c r="AI422" s="30"/>
      <c r="AJ422" s="30"/>
      <c r="AK422" s="30"/>
      <c r="AL422" s="30"/>
      <c r="AM422" s="30"/>
      <c r="AN422" s="30"/>
      <c r="AO422" s="5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</row>
    <row r="423" spans="1:61" ht="15.5" x14ac:dyDescent="0.35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58"/>
      <c r="Z423" s="30"/>
      <c r="AA423" s="67"/>
      <c r="AB423" s="30"/>
      <c r="AC423" s="30"/>
      <c r="AD423" s="30"/>
      <c r="AE423" s="67"/>
      <c r="AF423" s="30"/>
      <c r="AG423" s="30"/>
      <c r="AH423" s="30"/>
      <c r="AI423" s="30"/>
      <c r="AJ423" s="30"/>
      <c r="AK423" s="30"/>
      <c r="AL423" s="30"/>
      <c r="AM423" s="30"/>
      <c r="AN423" s="30"/>
      <c r="AO423" s="5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</row>
    <row r="424" spans="1:61" ht="15.5" x14ac:dyDescent="0.35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58"/>
      <c r="Z424" s="30"/>
      <c r="AA424" s="67"/>
      <c r="AB424" s="30"/>
      <c r="AC424" s="30"/>
      <c r="AD424" s="30"/>
      <c r="AE424" s="67"/>
      <c r="AF424" s="30"/>
      <c r="AG424" s="30"/>
      <c r="AH424" s="30"/>
      <c r="AI424" s="30"/>
      <c r="AJ424" s="30"/>
      <c r="AK424" s="30"/>
      <c r="AL424" s="30"/>
      <c r="AM424" s="30"/>
      <c r="AN424" s="30"/>
      <c r="AO424" s="5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</row>
    <row r="425" spans="1:61" ht="15.5" x14ac:dyDescent="0.3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58"/>
      <c r="Z425" s="30"/>
      <c r="AA425" s="67"/>
      <c r="AB425" s="30"/>
      <c r="AC425" s="30"/>
      <c r="AD425" s="30"/>
      <c r="AE425" s="67"/>
      <c r="AF425" s="30"/>
      <c r="AG425" s="30"/>
      <c r="AH425" s="30"/>
      <c r="AI425" s="30"/>
      <c r="AJ425" s="30"/>
      <c r="AK425" s="30"/>
      <c r="AL425" s="30"/>
      <c r="AM425" s="30"/>
      <c r="AN425" s="30"/>
      <c r="AO425" s="5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</row>
    <row r="426" spans="1:61" ht="15.5" x14ac:dyDescent="0.35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58"/>
      <c r="Z426" s="30"/>
      <c r="AA426" s="67"/>
      <c r="AB426" s="30"/>
      <c r="AC426" s="30"/>
      <c r="AD426" s="30"/>
      <c r="AE426" s="67"/>
      <c r="AF426" s="30"/>
      <c r="AG426" s="30"/>
      <c r="AH426" s="30"/>
      <c r="AI426" s="30"/>
      <c r="AJ426" s="30"/>
      <c r="AK426" s="30"/>
      <c r="AL426" s="30"/>
      <c r="AM426" s="30"/>
      <c r="AN426" s="30"/>
      <c r="AO426" s="5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</row>
    <row r="427" spans="1:61" ht="15.5" x14ac:dyDescent="0.35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58"/>
      <c r="Z427" s="30"/>
      <c r="AA427" s="67"/>
      <c r="AB427" s="30"/>
      <c r="AC427" s="30"/>
      <c r="AD427" s="30"/>
      <c r="AE427" s="67"/>
      <c r="AF427" s="30"/>
      <c r="AG427" s="30"/>
      <c r="AH427" s="30"/>
      <c r="AI427" s="30"/>
      <c r="AJ427" s="30"/>
      <c r="AK427" s="30"/>
      <c r="AL427" s="30"/>
      <c r="AM427" s="30"/>
      <c r="AN427" s="30"/>
      <c r="AO427" s="5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</row>
    <row r="428" spans="1:61" ht="15.5" x14ac:dyDescent="0.3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58"/>
      <c r="Z428" s="30"/>
      <c r="AA428" s="67"/>
      <c r="AB428" s="30"/>
      <c r="AC428" s="30"/>
      <c r="AD428" s="30"/>
      <c r="AE428" s="67"/>
      <c r="AF428" s="30"/>
      <c r="AG428" s="30"/>
      <c r="AH428" s="30"/>
      <c r="AI428" s="30"/>
      <c r="AJ428" s="30"/>
      <c r="AK428" s="30"/>
      <c r="AL428" s="30"/>
      <c r="AM428" s="30"/>
      <c r="AN428" s="30"/>
      <c r="AO428" s="5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</row>
    <row r="429" spans="1:61" ht="15.5" x14ac:dyDescent="0.35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58"/>
      <c r="Z429" s="30"/>
      <c r="AA429" s="67"/>
      <c r="AB429" s="30"/>
      <c r="AC429" s="30"/>
      <c r="AD429" s="30"/>
      <c r="AE429" s="67"/>
      <c r="AF429" s="30"/>
      <c r="AG429" s="30"/>
      <c r="AH429" s="30"/>
      <c r="AI429" s="30"/>
      <c r="AJ429" s="30"/>
      <c r="AK429" s="30"/>
      <c r="AL429" s="30"/>
      <c r="AM429" s="30"/>
      <c r="AN429" s="30"/>
      <c r="AO429" s="5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</row>
    <row r="430" spans="1:61" ht="15.5" x14ac:dyDescent="0.35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58"/>
      <c r="Z430" s="30"/>
      <c r="AA430" s="67"/>
      <c r="AB430" s="30"/>
      <c r="AC430" s="30"/>
      <c r="AD430" s="30"/>
      <c r="AE430" s="67"/>
      <c r="AF430" s="30"/>
      <c r="AG430" s="30"/>
      <c r="AH430" s="30"/>
      <c r="AI430" s="30"/>
      <c r="AJ430" s="30"/>
      <c r="AK430" s="30"/>
      <c r="AL430" s="30"/>
      <c r="AM430" s="30"/>
      <c r="AN430" s="30"/>
      <c r="AO430" s="5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</row>
    <row r="431" spans="1:61" ht="15.5" x14ac:dyDescent="0.35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58"/>
      <c r="Z431" s="30"/>
      <c r="AA431" s="67"/>
      <c r="AB431" s="30"/>
      <c r="AC431" s="30"/>
      <c r="AD431" s="30"/>
      <c r="AE431" s="67"/>
      <c r="AF431" s="30"/>
      <c r="AG431" s="30"/>
      <c r="AH431" s="30"/>
      <c r="AI431" s="30"/>
      <c r="AJ431" s="30"/>
      <c r="AK431" s="30"/>
      <c r="AL431" s="30"/>
      <c r="AM431" s="30"/>
      <c r="AN431" s="30"/>
      <c r="AO431" s="5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</row>
    <row r="432" spans="1:61" ht="15.5" x14ac:dyDescent="0.35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58"/>
      <c r="Z432" s="30"/>
      <c r="AA432" s="67"/>
      <c r="AB432" s="30"/>
      <c r="AC432" s="30"/>
      <c r="AD432" s="30"/>
      <c r="AE432" s="67"/>
      <c r="AF432" s="30"/>
      <c r="AG432" s="30"/>
      <c r="AH432" s="30"/>
      <c r="AI432" s="30"/>
      <c r="AJ432" s="30"/>
      <c r="AK432" s="30"/>
      <c r="AL432" s="30"/>
      <c r="AM432" s="30"/>
      <c r="AN432" s="30"/>
      <c r="AO432" s="5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</row>
    <row r="433" spans="1:61" ht="15.5" x14ac:dyDescent="0.35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58"/>
      <c r="Z433" s="30"/>
      <c r="AA433" s="67"/>
      <c r="AB433" s="30"/>
      <c r="AC433" s="30"/>
      <c r="AD433" s="30"/>
      <c r="AE433" s="67"/>
      <c r="AF433" s="30"/>
      <c r="AG433" s="30"/>
      <c r="AH433" s="30"/>
      <c r="AI433" s="30"/>
      <c r="AJ433" s="30"/>
      <c r="AK433" s="30"/>
      <c r="AL433" s="30"/>
      <c r="AM433" s="30"/>
      <c r="AN433" s="30"/>
      <c r="AO433" s="5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</row>
    <row r="434" spans="1:61" ht="15.5" x14ac:dyDescent="0.35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58"/>
      <c r="Z434" s="30"/>
      <c r="AA434" s="67"/>
      <c r="AB434" s="30"/>
      <c r="AC434" s="30"/>
      <c r="AD434" s="30"/>
      <c r="AE434" s="67"/>
      <c r="AF434" s="30"/>
      <c r="AG434" s="30"/>
      <c r="AH434" s="30"/>
      <c r="AI434" s="30"/>
      <c r="AJ434" s="30"/>
      <c r="AK434" s="30"/>
      <c r="AL434" s="30"/>
      <c r="AM434" s="30"/>
      <c r="AN434" s="30"/>
      <c r="AO434" s="5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</row>
    <row r="435" spans="1:61" ht="15.5" x14ac:dyDescent="0.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58"/>
      <c r="Z435" s="30"/>
      <c r="AA435" s="67"/>
      <c r="AB435" s="30"/>
      <c r="AC435" s="30"/>
      <c r="AD435" s="30"/>
      <c r="AE435" s="67"/>
      <c r="AF435" s="30"/>
      <c r="AG435" s="30"/>
      <c r="AH435" s="30"/>
      <c r="AI435" s="30"/>
      <c r="AJ435" s="30"/>
      <c r="AK435" s="30"/>
      <c r="AL435" s="30"/>
      <c r="AM435" s="30"/>
      <c r="AN435" s="30"/>
      <c r="AO435" s="5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</row>
    <row r="436" spans="1:61" ht="15.5" x14ac:dyDescent="0.35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58"/>
      <c r="Z436" s="30"/>
      <c r="AA436" s="67"/>
      <c r="AB436" s="30"/>
      <c r="AC436" s="30"/>
      <c r="AD436" s="30"/>
      <c r="AE436" s="67"/>
      <c r="AF436" s="30"/>
      <c r="AG436" s="30"/>
      <c r="AH436" s="30"/>
      <c r="AI436" s="30"/>
      <c r="AJ436" s="30"/>
      <c r="AK436" s="30"/>
      <c r="AL436" s="30"/>
      <c r="AM436" s="30"/>
      <c r="AN436" s="30"/>
      <c r="AO436" s="5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</row>
    <row r="437" spans="1:61" ht="15.5" x14ac:dyDescent="0.35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58"/>
      <c r="Z437" s="30"/>
      <c r="AA437" s="67"/>
      <c r="AB437" s="30"/>
      <c r="AC437" s="30"/>
      <c r="AD437" s="30"/>
      <c r="AE437" s="67"/>
      <c r="AF437" s="30"/>
      <c r="AG437" s="30"/>
      <c r="AH437" s="30"/>
      <c r="AI437" s="30"/>
      <c r="AJ437" s="30"/>
      <c r="AK437" s="30"/>
      <c r="AL437" s="30"/>
      <c r="AM437" s="30"/>
      <c r="AN437" s="30"/>
      <c r="AO437" s="5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</row>
    <row r="438" spans="1:61" ht="15.5" x14ac:dyDescent="0.35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58"/>
      <c r="Z438" s="30"/>
      <c r="AA438" s="67"/>
      <c r="AB438" s="30"/>
      <c r="AC438" s="30"/>
      <c r="AD438" s="30"/>
      <c r="AE438" s="67"/>
      <c r="AF438" s="30"/>
      <c r="AG438" s="30"/>
      <c r="AH438" s="30"/>
      <c r="AI438" s="30"/>
      <c r="AJ438" s="30"/>
      <c r="AK438" s="30"/>
      <c r="AL438" s="30"/>
      <c r="AM438" s="30"/>
      <c r="AN438" s="30"/>
      <c r="AO438" s="5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</row>
    <row r="439" spans="1:61" ht="15.5" x14ac:dyDescent="0.35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58"/>
      <c r="Z439" s="30"/>
      <c r="AA439" s="67"/>
      <c r="AB439" s="30"/>
      <c r="AC439" s="30"/>
      <c r="AD439" s="30"/>
      <c r="AE439" s="67"/>
      <c r="AF439" s="30"/>
      <c r="AG439" s="30"/>
      <c r="AH439" s="30"/>
      <c r="AI439" s="30"/>
      <c r="AJ439" s="30"/>
      <c r="AK439" s="30"/>
      <c r="AL439" s="30"/>
      <c r="AM439" s="30"/>
      <c r="AN439" s="30"/>
      <c r="AO439" s="5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</row>
    <row r="440" spans="1:61" ht="15.5" x14ac:dyDescent="0.35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58"/>
      <c r="Z440" s="30"/>
      <c r="AA440" s="67"/>
      <c r="AB440" s="30"/>
      <c r="AC440" s="30"/>
      <c r="AD440" s="30"/>
      <c r="AE440" s="67"/>
      <c r="AF440" s="30"/>
      <c r="AG440" s="30"/>
      <c r="AH440" s="30"/>
      <c r="AI440" s="30"/>
      <c r="AJ440" s="30"/>
      <c r="AK440" s="30"/>
      <c r="AL440" s="30"/>
      <c r="AM440" s="30"/>
      <c r="AN440" s="30"/>
      <c r="AO440" s="5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</row>
    <row r="441" spans="1:61" ht="15.5" x14ac:dyDescent="0.35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58"/>
      <c r="Z441" s="30"/>
      <c r="AA441" s="67"/>
      <c r="AB441" s="30"/>
      <c r="AC441" s="30"/>
      <c r="AD441" s="30"/>
      <c r="AE441" s="67"/>
      <c r="AF441" s="30"/>
      <c r="AG441" s="30"/>
      <c r="AH441" s="30"/>
      <c r="AI441" s="30"/>
      <c r="AJ441" s="30"/>
      <c r="AK441" s="30"/>
      <c r="AL441" s="30"/>
      <c r="AM441" s="30"/>
      <c r="AN441" s="30"/>
      <c r="AO441" s="5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</row>
    <row r="442" spans="1:61" ht="15.5" x14ac:dyDescent="0.3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58"/>
      <c r="Z442" s="30"/>
      <c r="AA442" s="67"/>
      <c r="AB442" s="30"/>
      <c r="AC442" s="30"/>
      <c r="AD442" s="30"/>
      <c r="AE442" s="67"/>
      <c r="AF442" s="30"/>
      <c r="AG442" s="30"/>
      <c r="AH442" s="30"/>
      <c r="AI442" s="30"/>
      <c r="AJ442" s="30"/>
      <c r="AK442" s="30"/>
      <c r="AL442" s="30"/>
      <c r="AM442" s="30"/>
      <c r="AN442" s="30"/>
      <c r="AO442" s="5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</row>
    <row r="443" spans="1:61" ht="15.5" x14ac:dyDescent="0.35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58"/>
      <c r="Z443" s="30"/>
      <c r="AA443" s="67"/>
      <c r="AB443" s="30"/>
      <c r="AC443" s="30"/>
      <c r="AD443" s="30"/>
      <c r="AE443" s="67"/>
      <c r="AF443" s="30"/>
      <c r="AG443" s="30"/>
      <c r="AH443" s="30"/>
      <c r="AI443" s="30"/>
      <c r="AJ443" s="30"/>
      <c r="AK443" s="30"/>
      <c r="AL443" s="30"/>
      <c r="AM443" s="30"/>
      <c r="AN443" s="30"/>
      <c r="AO443" s="5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</row>
    <row r="444" spans="1:61" ht="15.5" x14ac:dyDescent="0.35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58"/>
      <c r="Z444" s="30"/>
      <c r="AA444" s="67"/>
      <c r="AB444" s="30"/>
      <c r="AC444" s="30"/>
      <c r="AD444" s="30"/>
      <c r="AE444" s="67"/>
      <c r="AF444" s="30"/>
      <c r="AG444" s="30"/>
      <c r="AH444" s="30"/>
      <c r="AI444" s="30"/>
      <c r="AJ444" s="30"/>
      <c r="AK444" s="30"/>
      <c r="AL444" s="30"/>
      <c r="AM444" s="30"/>
      <c r="AN444" s="30"/>
      <c r="AO444" s="5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</row>
    <row r="445" spans="1:61" ht="15.5" x14ac:dyDescent="0.3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58"/>
      <c r="Z445" s="30"/>
      <c r="AA445" s="67"/>
      <c r="AB445" s="30"/>
      <c r="AC445" s="30"/>
      <c r="AD445" s="30"/>
      <c r="AE445" s="67"/>
      <c r="AF445" s="30"/>
      <c r="AG445" s="30"/>
      <c r="AH445" s="30"/>
      <c r="AI445" s="30"/>
      <c r="AJ445" s="30"/>
      <c r="AK445" s="30"/>
      <c r="AL445" s="30"/>
      <c r="AM445" s="30"/>
      <c r="AN445" s="30"/>
      <c r="AO445" s="5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</row>
    <row r="446" spans="1:61" ht="15.5" x14ac:dyDescent="0.35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58"/>
      <c r="Z446" s="30"/>
      <c r="AA446" s="67"/>
      <c r="AB446" s="30"/>
      <c r="AC446" s="30"/>
      <c r="AD446" s="30"/>
      <c r="AE446" s="67"/>
      <c r="AF446" s="30"/>
      <c r="AG446" s="30"/>
      <c r="AH446" s="30"/>
      <c r="AI446" s="30"/>
      <c r="AJ446" s="30"/>
      <c r="AK446" s="30"/>
      <c r="AL446" s="30"/>
      <c r="AM446" s="30"/>
      <c r="AN446" s="30"/>
      <c r="AO446" s="5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</row>
    <row r="447" spans="1:61" ht="15.5" x14ac:dyDescent="0.35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58"/>
      <c r="Z447" s="30"/>
      <c r="AA447" s="67"/>
      <c r="AB447" s="30"/>
      <c r="AC447" s="30"/>
      <c r="AD447" s="30"/>
      <c r="AE447" s="67"/>
      <c r="AF447" s="30"/>
      <c r="AG447" s="30"/>
      <c r="AH447" s="30"/>
      <c r="AI447" s="30"/>
      <c r="AJ447" s="30"/>
      <c r="AK447" s="30"/>
      <c r="AL447" s="30"/>
      <c r="AM447" s="30"/>
      <c r="AN447" s="30"/>
      <c r="AO447" s="5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</row>
    <row r="448" spans="1:61" ht="15.5" x14ac:dyDescent="0.35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58"/>
      <c r="Z448" s="30"/>
      <c r="AA448" s="67"/>
      <c r="AB448" s="30"/>
      <c r="AC448" s="30"/>
      <c r="AD448" s="30"/>
      <c r="AE448" s="67"/>
      <c r="AF448" s="30"/>
      <c r="AG448" s="30"/>
      <c r="AH448" s="30"/>
      <c r="AI448" s="30"/>
      <c r="AJ448" s="30"/>
      <c r="AK448" s="30"/>
      <c r="AL448" s="30"/>
      <c r="AM448" s="30"/>
      <c r="AN448" s="30"/>
      <c r="AO448" s="5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</row>
    <row r="449" spans="1:61" ht="15.5" x14ac:dyDescent="0.3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58"/>
      <c r="Z449" s="30"/>
      <c r="AA449" s="67"/>
      <c r="AB449" s="30"/>
      <c r="AC449" s="30"/>
      <c r="AD449" s="30"/>
      <c r="AE449" s="67"/>
      <c r="AF449" s="30"/>
      <c r="AG449" s="30"/>
      <c r="AH449" s="30"/>
      <c r="AI449" s="30"/>
      <c r="AJ449" s="30"/>
      <c r="AK449" s="30"/>
      <c r="AL449" s="30"/>
      <c r="AM449" s="30"/>
      <c r="AN449" s="30"/>
      <c r="AO449" s="5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</row>
    <row r="450" spans="1:61" ht="15.5" x14ac:dyDescent="0.35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58"/>
      <c r="Z450" s="30"/>
      <c r="AA450" s="67"/>
      <c r="AB450" s="30"/>
      <c r="AC450" s="30"/>
      <c r="AD450" s="30"/>
      <c r="AE450" s="67"/>
      <c r="AF450" s="30"/>
      <c r="AG450" s="30"/>
      <c r="AH450" s="30"/>
      <c r="AI450" s="30"/>
      <c r="AJ450" s="30"/>
      <c r="AK450" s="30"/>
      <c r="AL450" s="30"/>
      <c r="AM450" s="30"/>
      <c r="AN450" s="30"/>
      <c r="AO450" s="5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</row>
    <row r="451" spans="1:61" ht="15.5" x14ac:dyDescent="0.35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58"/>
      <c r="Z451" s="30"/>
      <c r="AA451" s="67"/>
      <c r="AB451" s="30"/>
      <c r="AC451" s="30"/>
      <c r="AD451" s="30"/>
      <c r="AE451" s="67"/>
      <c r="AF451" s="30"/>
      <c r="AG451" s="30"/>
      <c r="AH451" s="30"/>
      <c r="AI451" s="30"/>
      <c r="AJ451" s="30"/>
      <c r="AK451" s="30"/>
      <c r="AL451" s="30"/>
      <c r="AM451" s="30"/>
      <c r="AN451" s="30"/>
      <c r="AO451" s="5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</row>
    <row r="452" spans="1:61" ht="15.5" x14ac:dyDescent="0.35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58"/>
      <c r="Z452" s="30"/>
      <c r="AA452" s="67"/>
      <c r="AB452" s="30"/>
      <c r="AC452" s="30"/>
      <c r="AD452" s="30"/>
      <c r="AE452" s="67"/>
      <c r="AF452" s="30"/>
      <c r="AG452" s="30"/>
      <c r="AH452" s="30"/>
      <c r="AI452" s="30"/>
      <c r="AJ452" s="30"/>
      <c r="AK452" s="30"/>
      <c r="AL452" s="30"/>
      <c r="AM452" s="30"/>
      <c r="AN452" s="30"/>
      <c r="AO452" s="5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</row>
    <row r="453" spans="1:61" ht="15.5" x14ac:dyDescent="0.35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58"/>
      <c r="Z453" s="30"/>
      <c r="AA453" s="67"/>
      <c r="AB453" s="30"/>
      <c r="AC453" s="30"/>
      <c r="AD453" s="30"/>
      <c r="AE453" s="67"/>
      <c r="AF453" s="30"/>
      <c r="AG453" s="30"/>
      <c r="AH453" s="30"/>
      <c r="AI453" s="30"/>
      <c r="AJ453" s="30"/>
      <c r="AK453" s="30"/>
      <c r="AL453" s="30"/>
      <c r="AM453" s="30"/>
      <c r="AN453" s="30"/>
      <c r="AO453" s="5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</row>
    <row r="454" spans="1:61" ht="15.5" x14ac:dyDescent="0.35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58"/>
      <c r="Z454" s="30"/>
      <c r="AA454" s="67"/>
      <c r="AB454" s="30"/>
      <c r="AC454" s="30"/>
      <c r="AD454" s="30"/>
      <c r="AE454" s="67"/>
      <c r="AF454" s="30"/>
      <c r="AG454" s="30"/>
      <c r="AH454" s="30"/>
      <c r="AI454" s="30"/>
      <c r="AJ454" s="30"/>
      <c r="AK454" s="30"/>
      <c r="AL454" s="30"/>
      <c r="AM454" s="30"/>
      <c r="AN454" s="30"/>
      <c r="AO454" s="5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</row>
    <row r="455" spans="1:61" ht="15.5" x14ac:dyDescent="0.3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58"/>
      <c r="Z455" s="30"/>
      <c r="AA455" s="67"/>
      <c r="AB455" s="30"/>
      <c r="AC455" s="30"/>
      <c r="AD455" s="30"/>
      <c r="AE455" s="67"/>
      <c r="AF455" s="30"/>
      <c r="AG455" s="30"/>
      <c r="AH455" s="30"/>
      <c r="AI455" s="30"/>
      <c r="AJ455" s="30"/>
      <c r="AK455" s="30"/>
      <c r="AL455" s="30"/>
      <c r="AM455" s="30"/>
      <c r="AN455" s="30"/>
      <c r="AO455" s="5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</row>
    <row r="456" spans="1:61" ht="15.5" x14ac:dyDescent="0.3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58"/>
      <c r="Z456" s="30"/>
      <c r="AA456" s="67"/>
      <c r="AB456" s="30"/>
      <c r="AC456" s="30"/>
      <c r="AD456" s="30"/>
      <c r="AE456" s="67"/>
      <c r="AF456" s="30"/>
      <c r="AG456" s="30"/>
      <c r="AH456" s="30"/>
      <c r="AI456" s="30"/>
      <c r="AJ456" s="30"/>
      <c r="AK456" s="30"/>
      <c r="AL456" s="30"/>
      <c r="AM456" s="30"/>
      <c r="AN456" s="30"/>
      <c r="AO456" s="5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</row>
    <row r="457" spans="1:61" ht="15.5" x14ac:dyDescent="0.35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58"/>
      <c r="Z457" s="30"/>
      <c r="AA457" s="67"/>
      <c r="AB457" s="30"/>
      <c r="AC457" s="30"/>
      <c r="AD457" s="30"/>
      <c r="AE457" s="67"/>
      <c r="AF457" s="30"/>
      <c r="AG457" s="30"/>
      <c r="AH457" s="30"/>
      <c r="AI457" s="30"/>
      <c r="AJ457" s="30"/>
      <c r="AK457" s="30"/>
      <c r="AL457" s="30"/>
      <c r="AM457" s="30"/>
      <c r="AN457" s="30"/>
      <c r="AO457" s="5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</row>
    <row r="458" spans="1:61" ht="15.5" x14ac:dyDescent="0.35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58"/>
      <c r="Z458" s="30"/>
      <c r="AA458" s="67"/>
      <c r="AB458" s="30"/>
      <c r="AC458" s="30"/>
      <c r="AD458" s="30"/>
      <c r="AE458" s="67"/>
      <c r="AF458" s="30"/>
      <c r="AG458" s="30"/>
      <c r="AH458" s="30"/>
      <c r="AI458" s="30"/>
      <c r="AJ458" s="30"/>
      <c r="AK458" s="30"/>
      <c r="AL458" s="30"/>
      <c r="AM458" s="30"/>
      <c r="AN458" s="30"/>
      <c r="AO458" s="5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</row>
    <row r="459" spans="1:61" ht="15.5" x14ac:dyDescent="0.35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58"/>
      <c r="Z459" s="30"/>
      <c r="AA459" s="67"/>
      <c r="AB459" s="30"/>
      <c r="AC459" s="30"/>
      <c r="AD459" s="30"/>
      <c r="AE459" s="67"/>
      <c r="AF459" s="30"/>
      <c r="AG459" s="30"/>
      <c r="AH459" s="30"/>
      <c r="AI459" s="30"/>
      <c r="AJ459" s="30"/>
      <c r="AK459" s="30"/>
      <c r="AL459" s="30"/>
      <c r="AM459" s="30"/>
      <c r="AN459" s="30"/>
      <c r="AO459" s="5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</row>
    <row r="460" spans="1:61" ht="15.5" x14ac:dyDescent="0.35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58"/>
      <c r="Z460" s="30"/>
      <c r="AA460" s="67"/>
      <c r="AB460" s="30"/>
      <c r="AC460" s="30"/>
      <c r="AD460" s="30"/>
      <c r="AE460" s="67"/>
      <c r="AF460" s="30"/>
      <c r="AG460" s="30"/>
      <c r="AH460" s="30"/>
      <c r="AI460" s="30"/>
      <c r="AJ460" s="30"/>
      <c r="AK460" s="30"/>
      <c r="AL460" s="30"/>
      <c r="AM460" s="30"/>
      <c r="AN460" s="30"/>
      <c r="AO460" s="5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</row>
    <row r="461" spans="1:61" ht="15.5" x14ac:dyDescent="0.35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58"/>
      <c r="Z461" s="30"/>
      <c r="AA461" s="67"/>
      <c r="AB461" s="30"/>
      <c r="AC461" s="30"/>
      <c r="AD461" s="30"/>
      <c r="AE461" s="67"/>
      <c r="AF461" s="30"/>
      <c r="AG461" s="30"/>
      <c r="AH461" s="30"/>
      <c r="AI461" s="30"/>
      <c r="AJ461" s="30"/>
      <c r="AK461" s="30"/>
      <c r="AL461" s="30"/>
      <c r="AM461" s="30"/>
      <c r="AN461" s="30"/>
      <c r="AO461" s="5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</row>
    <row r="462" spans="1:61" ht="15.5" x14ac:dyDescent="0.35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58"/>
      <c r="Z462" s="30"/>
      <c r="AA462" s="67"/>
      <c r="AB462" s="30"/>
      <c r="AC462" s="30"/>
      <c r="AD462" s="30"/>
      <c r="AE462" s="67"/>
      <c r="AF462" s="30"/>
      <c r="AG462" s="30"/>
      <c r="AH462" s="30"/>
      <c r="AI462" s="30"/>
      <c r="AJ462" s="30"/>
      <c r="AK462" s="30"/>
      <c r="AL462" s="30"/>
      <c r="AM462" s="30"/>
      <c r="AN462" s="30"/>
      <c r="AO462" s="5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</row>
    <row r="463" spans="1:61" ht="15.5" x14ac:dyDescent="0.3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58"/>
      <c r="Z463" s="30"/>
      <c r="AA463" s="67"/>
      <c r="AB463" s="30"/>
      <c r="AC463" s="30"/>
      <c r="AD463" s="30"/>
      <c r="AE463" s="67"/>
      <c r="AF463" s="30"/>
      <c r="AG463" s="30"/>
      <c r="AH463" s="30"/>
      <c r="AI463" s="30"/>
      <c r="AJ463" s="30"/>
      <c r="AK463" s="30"/>
      <c r="AL463" s="30"/>
      <c r="AM463" s="30"/>
      <c r="AN463" s="30"/>
      <c r="AO463" s="5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</row>
    <row r="464" spans="1:61" ht="15.5" x14ac:dyDescent="0.35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58"/>
      <c r="Z464" s="30"/>
      <c r="AA464" s="67"/>
      <c r="AB464" s="30"/>
      <c r="AC464" s="30"/>
      <c r="AD464" s="30"/>
      <c r="AE464" s="67"/>
      <c r="AF464" s="30"/>
      <c r="AG464" s="30"/>
      <c r="AH464" s="30"/>
      <c r="AI464" s="30"/>
      <c r="AJ464" s="30"/>
      <c r="AK464" s="30"/>
      <c r="AL464" s="30"/>
      <c r="AM464" s="30"/>
      <c r="AN464" s="30"/>
      <c r="AO464" s="5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</row>
    <row r="465" spans="1:61" ht="15.5" x14ac:dyDescent="0.3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58"/>
      <c r="Z465" s="30"/>
      <c r="AA465" s="67"/>
      <c r="AB465" s="30"/>
      <c r="AC465" s="30"/>
      <c r="AD465" s="30"/>
      <c r="AE465" s="67"/>
      <c r="AF465" s="30"/>
      <c r="AG465" s="30"/>
      <c r="AH465" s="30"/>
      <c r="AI465" s="30"/>
      <c r="AJ465" s="30"/>
      <c r="AK465" s="30"/>
      <c r="AL465" s="30"/>
      <c r="AM465" s="30"/>
      <c r="AN465" s="30"/>
      <c r="AO465" s="5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</row>
    <row r="466" spans="1:61" ht="15.5" x14ac:dyDescent="0.35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58"/>
      <c r="Z466" s="30"/>
      <c r="AA466" s="67"/>
      <c r="AB466" s="30"/>
      <c r="AC466" s="30"/>
      <c r="AD466" s="30"/>
      <c r="AE466" s="67"/>
      <c r="AF466" s="30"/>
      <c r="AG466" s="30"/>
      <c r="AH466" s="30"/>
      <c r="AI466" s="30"/>
      <c r="AJ466" s="30"/>
      <c r="AK466" s="30"/>
      <c r="AL466" s="30"/>
      <c r="AM466" s="30"/>
      <c r="AN466" s="30"/>
      <c r="AO466" s="5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</row>
    <row r="467" spans="1:61" ht="15.5" x14ac:dyDescent="0.35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58"/>
      <c r="Z467" s="30"/>
      <c r="AA467" s="67"/>
      <c r="AB467" s="30"/>
      <c r="AC467" s="30"/>
      <c r="AD467" s="30"/>
      <c r="AE467" s="67"/>
      <c r="AF467" s="30"/>
      <c r="AG467" s="30"/>
      <c r="AH467" s="30"/>
      <c r="AI467" s="30"/>
      <c r="AJ467" s="30"/>
      <c r="AK467" s="30"/>
      <c r="AL467" s="30"/>
      <c r="AM467" s="30"/>
      <c r="AN467" s="30"/>
      <c r="AO467" s="5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</row>
    <row r="468" spans="1:61" ht="15.5" x14ac:dyDescent="0.35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58"/>
      <c r="Z468" s="30"/>
      <c r="AA468" s="67"/>
      <c r="AB468" s="30"/>
      <c r="AC468" s="30"/>
      <c r="AD468" s="30"/>
      <c r="AE468" s="67"/>
      <c r="AF468" s="30"/>
      <c r="AG468" s="30"/>
      <c r="AH468" s="30"/>
      <c r="AI468" s="30"/>
      <c r="AJ468" s="30"/>
      <c r="AK468" s="30"/>
      <c r="AL468" s="30"/>
      <c r="AM468" s="30"/>
      <c r="AN468" s="30"/>
      <c r="AO468" s="5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</row>
    <row r="469" spans="1:61" ht="15.5" x14ac:dyDescent="0.35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58"/>
      <c r="Z469" s="30"/>
      <c r="AA469" s="67"/>
      <c r="AB469" s="30"/>
      <c r="AC469" s="30"/>
      <c r="AD469" s="30"/>
      <c r="AE469" s="67"/>
      <c r="AF469" s="30"/>
      <c r="AG469" s="30"/>
      <c r="AH469" s="30"/>
      <c r="AI469" s="30"/>
      <c r="AJ469" s="30"/>
      <c r="AK469" s="30"/>
      <c r="AL469" s="30"/>
      <c r="AM469" s="30"/>
      <c r="AN469" s="30"/>
      <c r="AO469" s="5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</row>
    <row r="470" spans="1:61" ht="15.5" x14ac:dyDescent="0.3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58"/>
      <c r="Z470" s="30"/>
      <c r="AA470" s="67"/>
      <c r="AB470" s="30"/>
      <c r="AC470" s="30"/>
      <c r="AD470" s="30"/>
      <c r="AE470" s="67"/>
      <c r="AF470" s="30"/>
      <c r="AG470" s="30"/>
      <c r="AH470" s="30"/>
      <c r="AI470" s="30"/>
      <c r="AJ470" s="30"/>
      <c r="AK470" s="30"/>
      <c r="AL470" s="30"/>
      <c r="AM470" s="30"/>
      <c r="AN470" s="30"/>
      <c r="AO470" s="5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</row>
    <row r="471" spans="1:61" ht="15.5" x14ac:dyDescent="0.35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58"/>
      <c r="Z471" s="30"/>
      <c r="AA471" s="67"/>
      <c r="AB471" s="30"/>
      <c r="AC471" s="30"/>
      <c r="AD471" s="30"/>
      <c r="AE471" s="67"/>
      <c r="AF471" s="30"/>
      <c r="AG471" s="30"/>
      <c r="AH471" s="30"/>
      <c r="AI471" s="30"/>
      <c r="AJ471" s="30"/>
      <c r="AK471" s="30"/>
      <c r="AL471" s="30"/>
      <c r="AM471" s="30"/>
      <c r="AN471" s="30"/>
      <c r="AO471" s="5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</row>
    <row r="472" spans="1:61" ht="15.5" x14ac:dyDescent="0.35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58"/>
      <c r="Z472" s="30"/>
      <c r="AA472" s="67"/>
      <c r="AB472" s="30"/>
      <c r="AC472" s="30"/>
      <c r="AD472" s="30"/>
      <c r="AE472" s="67"/>
      <c r="AF472" s="30"/>
      <c r="AG472" s="30"/>
      <c r="AH472" s="30"/>
      <c r="AI472" s="30"/>
      <c r="AJ472" s="30"/>
      <c r="AK472" s="30"/>
      <c r="AL472" s="30"/>
      <c r="AM472" s="30"/>
      <c r="AN472" s="30"/>
      <c r="AO472" s="5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</row>
    <row r="473" spans="1:61" ht="15.5" x14ac:dyDescent="0.35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58"/>
      <c r="Z473" s="30"/>
      <c r="AA473" s="67"/>
      <c r="AB473" s="30"/>
      <c r="AC473" s="30"/>
      <c r="AD473" s="30"/>
      <c r="AE473" s="67"/>
      <c r="AF473" s="30"/>
      <c r="AG473" s="30"/>
      <c r="AH473" s="30"/>
      <c r="AI473" s="30"/>
      <c r="AJ473" s="30"/>
      <c r="AK473" s="30"/>
      <c r="AL473" s="30"/>
      <c r="AM473" s="30"/>
      <c r="AN473" s="30"/>
      <c r="AO473" s="5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</row>
    <row r="474" spans="1:61" ht="15.5" x14ac:dyDescent="0.35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58"/>
      <c r="Z474" s="30"/>
      <c r="AA474" s="67"/>
      <c r="AB474" s="30"/>
      <c r="AC474" s="30"/>
      <c r="AD474" s="30"/>
      <c r="AE474" s="67"/>
      <c r="AF474" s="30"/>
      <c r="AG474" s="30"/>
      <c r="AH474" s="30"/>
      <c r="AI474" s="30"/>
      <c r="AJ474" s="30"/>
      <c r="AK474" s="30"/>
      <c r="AL474" s="30"/>
      <c r="AM474" s="30"/>
      <c r="AN474" s="30"/>
      <c r="AO474" s="5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</row>
    <row r="475" spans="1:61" ht="15.5" x14ac:dyDescent="0.3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58"/>
      <c r="Z475" s="30"/>
      <c r="AA475" s="67"/>
      <c r="AB475" s="30"/>
      <c r="AC475" s="30"/>
      <c r="AD475" s="30"/>
      <c r="AE475" s="67"/>
      <c r="AF475" s="30"/>
      <c r="AG475" s="30"/>
      <c r="AH475" s="30"/>
      <c r="AI475" s="30"/>
      <c r="AJ475" s="30"/>
      <c r="AK475" s="30"/>
      <c r="AL475" s="30"/>
      <c r="AM475" s="30"/>
      <c r="AN475" s="30"/>
      <c r="AO475" s="5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</row>
    <row r="476" spans="1:61" ht="15.5" x14ac:dyDescent="0.35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58"/>
      <c r="Z476" s="30"/>
      <c r="AA476" s="67"/>
      <c r="AB476" s="30"/>
      <c r="AC476" s="30"/>
      <c r="AD476" s="30"/>
      <c r="AE476" s="67"/>
      <c r="AF476" s="30"/>
      <c r="AG476" s="30"/>
      <c r="AH476" s="30"/>
      <c r="AI476" s="30"/>
      <c r="AJ476" s="30"/>
      <c r="AK476" s="30"/>
      <c r="AL476" s="30"/>
      <c r="AM476" s="30"/>
      <c r="AN476" s="30"/>
      <c r="AO476" s="5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</row>
    <row r="477" spans="1:61" ht="15.5" x14ac:dyDescent="0.3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58"/>
      <c r="Z477" s="30"/>
      <c r="AA477" s="67"/>
      <c r="AB477" s="30"/>
      <c r="AC477" s="30"/>
      <c r="AD477" s="30"/>
      <c r="AE477" s="67"/>
      <c r="AF477" s="30"/>
      <c r="AG477" s="30"/>
      <c r="AH477" s="30"/>
      <c r="AI477" s="30"/>
      <c r="AJ477" s="30"/>
      <c r="AK477" s="30"/>
      <c r="AL477" s="30"/>
      <c r="AM477" s="30"/>
      <c r="AN477" s="30"/>
      <c r="AO477" s="5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</row>
    <row r="478" spans="1:61" ht="15.5" x14ac:dyDescent="0.35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58"/>
      <c r="Z478" s="30"/>
      <c r="AA478" s="67"/>
      <c r="AB478" s="30"/>
      <c r="AC478" s="30"/>
      <c r="AD478" s="30"/>
      <c r="AE478" s="67"/>
      <c r="AF478" s="30"/>
      <c r="AG478" s="30"/>
      <c r="AH478" s="30"/>
      <c r="AI478" s="30"/>
      <c r="AJ478" s="30"/>
      <c r="AK478" s="30"/>
      <c r="AL478" s="30"/>
      <c r="AM478" s="30"/>
      <c r="AN478" s="30"/>
      <c r="AO478" s="5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</row>
    <row r="479" spans="1:61" ht="15.5" x14ac:dyDescent="0.35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58"/>
      <c r="Z479" s="30"/>
      <c r="AA479" s="67"/>
      <c r="AB479" s="30"/>
      <c r="AC479" s="30"/>
      <c r="AD479" s="30"/>
      <c r="AE479" s="67"/>
      <c r="AF479" s="30"/>
      <c r="AG479" s="30"/>
      <c r="AH479" s="30"/>
      <c r="AI479" s="30"/>
      <c r="AJ479" s="30"/>
      <c r="AK479" s="30"/>
      <c r="AL479" s="30"/>
      <c r="AM479" s="30"/>
      <c r="AN479" s="30"/>
      <c r="AO479" s="5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</row>
    <row r="480" spans="1:61" ht="15.5" x14ac:dyDescent="0.35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58"/>
      <c r="Z480" s="30"/>
      <c r="AA480" s="67"/>
      <c r="AB480" s="30"/>
      <c r="AC480" s="30"/>
      <c r="AD480" s="30"/>
      <c r="AE480" s="67"/>
      <c r="AF480" s="30"/>
      <c r="AG480" s="30"/>
      <c r="AH480" s="30"/>
      <c r="AI480" s="30"/>
      <c r="AJ480" s="30"/>
      <c r="AK480" s="30"/>
      <c r="AL480" s="30"/>
      <c r="AM480" s="30"/>
      <c r="AN480" s="30"/>
      <c r="AO480" s="5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</row>
    <row r="481" spans="1:61" ht="15.5" x14ac:dyDescent="0.35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58"/>
      <c r="Z481" s="30"/>
      <c r="AA481" s="67"/>
      <c r="AB481" s="30"/>
      <c r="AC481" s="30"/>
      <c r="AD481" s="30"/>
      <c r="AE481" s="67"/>
      <c r="AF481" s="30"/>
      <c r="AG481" s="30"/>
      <c r="AH481" s="30"/>
      <c r="AI481" s="30"/>
      <c r="AJ481" s="30"/>
      <c r="AK481" s="30"/>
      <c r="AL481" s="30"/>
      <c r="AM481" s="30"/>
      <c r="AN481" s="30"/>
      <c r="AO481" s="5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</row>
    <row r="482" spans="1:61" ht="15.5" x14ac:dyDescent="0.35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58"/>
      <c r="Z482" s="30"/>
      <c r="AA482" s="67"/>
      <c r="AB482" s="30"/>
      <c r="AC482" s="30"/>
      <c r="AD482" s="30"/>
      <c r="AE482" s="67"/>
      <c r="AF482" s="30"/>
      <c r="AG482" s="30"/>
      <c r="AH482" s="30"/>
      <c r="AI482" s="30"/>
      <c r="AJ482" s="30"/>
      <c r="AK482" s="30"/>
      <c r="AL482" s="30"/>
      <c r="AM482" s="30"/>
      <c r="AN482" s="30"/>
      <c r="AO482" s="5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</row>
    <row r="483" spans="1:61" ht="15.5" x14ac:dyDescent="0.35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58"/>
      <c r="Z483" s="30"/>
      <c r="AA483" s="67"/>
      <c r="AB483" s="30"/>
      <c r="AC483" s="30"/>
      <c r="AD483" s="30"/>
      <c r="AE483" s="67"/>
      <c r="AF483" s="30"/>
      <c r="AG483" s="30"/>
      <c r="AH483" s="30"/>
      <c r="AI483" s="30"/>
      <c r="AJ483" s="30"/>
      <c r="AK483" s="30"/>
      <c r="AL483" s="30"/>
      <c r="AM483" s="30"/>
      <c r="AN483" s="30"/>
      <c r="AO483" s="5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</row>
    <row r="484" spans="1:61" ht="15.5" x14ac:dyDescent="0.3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58"/>
      <c r="Z484" s="30"/>
      <c r="AA484" s="67"/>
      <c r="AB484" s="30"/>
      <c r="AC484" s="30"/>
      <c r="AD484" s="30"/>
      <c r="AE484" s="67"/>
      <c r="AF484" s="30"/>
      <c r="AG484" s="30"/>
      <c r="AH484" s="30"/>
      <c r="AI484" s="30"/>
      <c r="AJ484" s="30"/>
      <c r="AK484" s="30"/>
      <c r="AL484" s="30"/>
      <c r="AM484" s="30"/>
      <c r="AN484" s="30"/>
      <c r="AO484" s="5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</row>
    <row r="485" spans="1:61" ht="15.5" x14ac:dyDescent="0.3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58"/>
      <c r="Z485" s="30"/>
      <c r="AA485" s="67"/>
      <c r="AB485" s="30"/>
      <c r="AC485" s="30"/>
      <c r="AD485" s="30"/>
      <c r="AE485" s="67"/>
      <c r="AF485" s="30"/>
      <c r="AG485" s="30"/>
      <c r="AH485" s="30"/>
      <c r="AI485" s="30"/>
      <c r="AJ485" s="30"/>
      <c r="AK485" s="30"/>
      <c r="AL485" s="30"/>
      <c r="AM485" s="30"/>
      <c r="AN485" s="30"/>
      <c r="AO485" s="5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</row>
    <row r="486" spans="1:61" ht="15.5" x14ac:dyDescent="0.35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58"/>
      <c r="Z486" s="30"/>
      <c r="AA486" s="67"/>
      <c r="AB486" s="30"/>
      <c r="AC486" s="30"/>
      <c r="AD486" s="30"/>
      <c r="AE486" s="67"/>
      <c r="AF486" s="30"/>
      <c r="AG486" s="30"/>
      <c r="AH486" s="30"/>
      <c r="AI486" s="30"/>
      <c r="AJ486" s="30"/>
      <c r="AK486" s="30"/>
      <c r="AL486" s="30"/>
      <c r="AM486" s="30"/>
      <c r="AN486" s="30"/>
      <c r="AO486" s="5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</row>
    <row r="487" spans="1:61" ht="15.5" x14ac:dyDescent="0.35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58"/>
      <c r="Z487" s="30"/>
      <c r="AA487" s="67"/>
      <c r="AB487" s="30"/>
      <c r="AC487" s="30"/>
      <c r="AD487" s="30"/>
      <c r="AE487" s="67"/>
      <c r="AF487" s="30"/>
      <c r="AG487" s="30"/>
      <c r="AH487" s="30"/>
      <c r="AI487" s="30"/>
      <c r="AJ487" s="30"/>
      <c r="AK487" s="30"/>
      <c r="AL487" s="30"/>
      <c r="AM487" s="30"/>
      <c r="AN487" s="30"/>
      <c r="AO487" s="5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</row>
    <row r="488" spans="1:61" ht="15.5" x14ac:dyDescent="0.35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58"/>
      <c r="Z488" s="30"/>
      <c r="AA488" s="67"/>
      <c r="AB488" s="30"/>
      <c r="AC488" s="30"/>
      <c r="AD488" s="30"/>
      <c r="AE488" s="67"/>
      <c r="AF488" s="30"/>
      <c r="AG488" s="30"/>
      <c r="AH488" s="30"/>
      <c r="AI488" s="30"/>
      <c r="AJ488" s="30"/>
      <c r="AK488" s="30"/>
      <c r="AL488" s="30"/>
      <c r="AM488" s="30"/>
      <c r="AN488" s="30"/>
      <c r="AO488" s="5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</row>
    <row r="489" spans="1:61" ht="15.5" x14ac:dyDescent="0.35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58"/>
      <c r="Z489" s="30"/>
      <c r="AA489" s="67"/>
      <c r="AB489" s="30"/>
      <c r="AC489" s="30"/>
      <c r="AD489" s="30"/>
      <c r="AE489" s="67"/>
      <c r="AF489" s="30"/>
      <c r="AG489" s="30"/>
      <c r="AH489" s="30"/>
      <c r="AI489" s="30"/>
      <c r="AJ489" s="30"/>
      <c r="AK489" s="30"/>
      <c r="AL489" s="30"/>
      <c r="AM489" s="30"/>
      <c r="AN489" s="30"/>
      <c r="AO489" s="5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</row>
    <row r="490" spans="1:61" ht="15.5" x14ac:dyDescent="0.35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58"/>
      <c r="Z490" s="30"/>
      <c r="AA490" s="67"/>
      <c r="AB490" s="30"/>
      <c r="AC490" s="30"/>
      <c r="AD490" s="30"/>
      <c r="AE490" s="67"/>
      <c r="AF490" s="30"/>
      <c r="AG490" s="30"/>
      <c r="AH490" s="30"/>
      <c r="AI490" s="30"/>
      <c r="AJ490" s="30"/>
      <c r="AK490" s="30"/>
      <c r="AL490" s="30"/>
      <c r="AM490" s="30"/>
      <c r="AN490" s="30"/>
      <c r="AO490" s="5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</row>
    <row r="491" spans="1:61" ht="15.5" x14ac:dyDescent="0.3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58"/>
      <c r="Z491" s="30"/>
      <c r="AA491" s="67"/>
      <c r="AB491" s="30"/>
      <c r="AC491" s="30"/>
      <c r="AD491" s="30"/>
      <c r="AE491" s="67"/>
      <c r="AF491" s="30"/>
      <c r="AG491" s="30"/>
      <c r="AH491" s="30"/>
      <c r="AI491" s="30"/>
      <c r="AJ491" s="30"/>
      <c r="AK491" s="30"/>
      <c r="AL491" s="30"/>
      <c r="AM491" s="30"/>
      <c r="AN491" s="30"/>
      <c r="AO491" s="5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</row>
    <row r="492" spans="1:61" ht="15.5" x14ac:dyDescent="0.35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58"/>
      <c r="Z492" s="30"/>
      <c r="AA492" s="67"/>
      <c r="AB492" s="30"/>
      <c r="AC492" s="30"/>
      <c r="AD492" s="30"/>
      <c r="AE492" s="67"/>
      <c r="AF492" s="30"/>
      <c r="AG492" s="30"/>
      <c r="AH492" s="30"/>
      <c r="AI492" s="30"/>
      <c r="AJ492" s="30"/>
      <c r="AK492" s="30"/>
      <c r="AL492" s="30"/>
      <c r="AM492" s="30"/>
      <c r="AN492" s="30"/>
      <c r="AO492" s="5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</row>
    <row r="493" spans="1:61" ht="15.5" x14ac:dyDescent="0.35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58"/>
      <c r="Z493" s="30"/>
      <c r="AA493" s="67"/>
      <c r="AB493" s="30"/>
      <c r="AC493" s="30"/>
      <c r="AD493" s="30"/>
      <c r="AE493" s="67"/>
      <c r="AF493" s="30"/>
      <c r="AG493" s="30"/>
      <c r="AH493" s="30"/>
      <c r="AI493" s="30"/>
      <c r="AJ493" s="30"/>
      <c r="AK493" s="30"/>
      <c r="AL493" s="30"/>
      <c r="AM493" s="30"/>
      <c r="AN493" s="30"/>
      <c r="AO493" s="5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</row>
    <row r="494" spans="1:61" ht="15.5" x14ac:dyDescent="0.35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58"/>
      <c r="Z494" s="30"/>
      <c r="AA494" s="67"/>
      <c r="AB494" s="30"/>
      <c r="AC494" s="30"/>
      <c r="AD494" s="30"/>
      <c r="AE494" s="67"/>
      <c r="AF494" s="30"/>
      <c r="AG494" s="30"/>
      <c r="AH494" s="30"/>
      <c r="AI494" s="30"/>
      <c r="AJ494" s="30"/>
      <c r="AK494" s="30"/>
      <c r="AL494" s="30"/>
      <c r="AM494" s="30"/>
      <c r="AN494" s="30"/>
      <c r="AO494" s="5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</row>
    <row r="495" spans="1:61" ht="15.5" x14ac:dyDescent="0.3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58"/>
      <c r="Z495" s="30"/>
      <c r="AA495" s="67"/>
      <c r="AB495" s="30"/>
      <c r="AC495" s="30"/>
      <c r="AD495" s="30"/>
      <c r="AE495" s="67"/>
      <c r="AF495" s="30"/>
      <c r="AG495" s="30"/>
      <c r="AH495" s="30"/>
      <c r="AI495" s="30"/>
      <c r="AJ495" s="30"/>
      <c r="AK495" s="30"/>
      <c r="AL495" s="30"/>
      <c r="AM495" s="30"/>
      <c r="AN495" s="30"/>
      <c r="AO495" s="5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</row>
    <row r="496" spans="1:61" ht="15.5" x14ac:dyDescent="0.35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58"/>
      <c r="Z496" s="30"/>
      <c r="AA496" s="67"/>
      <c r="AB496" s="30"/>
      <c r="AC496" s="30"/>
      <c r="AD496" s="30"/>
      <c r="AE496" s="67"/>
      <c r="AF496" s="30"/>
      <c r="AG496" s="30"/>
      <c r="AH496" s="30"/>
      <c r="AI496" s="30"/>
      <c r="AJ496" s="30"/>
      <c r="AK496" s="30"/>
      <c r="AL496" s="30"/>
      <c r="AM496" s="30"/>
      <c r="AN496" s="30"/>
      <c r="AO496" s="5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</row>
    <row r="497" spans="1:61" ht="15.5" x14ac:dyDescent="0.35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58"/>
      <c r="Z497" s="30"/>
      <c r="AA497" s="67"/>
      <c r="AB497" s="30"/>
      <c r="AC497" s="30"/>
      <c r="AD497" s="30"/>
      <c r="AE497" s="67"/>
      <c r="AF497" s="30"/>
      <c r="AG497" s="30"/>
      <c r="AH497" s="30"/>
      <c r="AI497" s="30"/>
      <c r="AJ497" s="30"/>
      <c r="AK497" s="30"/>
      <c r="AL497" s="30"/>
      <c r="AM497" s="30"/>
      <c r="AN497" s="30"/>
      <c r="AO497" s="5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</row>
    <row r="498" spans="1:61" ht="15.5" x14ac:dyDescent="0.3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58"/>
      <c r="Z498" s="30"/>
      <c r="AA498" s="67"/>
      <c r="AB498" s="30"/>
      <c r="AC498" s="30"/>
      <c r="AD498" s="30"/>
      <c r="AE498" s="67"/>
      <c r="AF498" s="30"/>
      <c r="AG498" s="30"/>
      <c r="AH498" s="30"/>
      <c r="AI498" s="30"/>
      <c r="AJ498" s="30"/>
      <c r="AK498" s="30"/>
      <c r="AL498" s="30"/>
      <c r="AM498" s="30"/>
      <c r="AN498" s="30"/>
      <c r="AO498" s="5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</row>
    <row r="499" spans="1:61" ht="15.5" x14ac:dyDescent="0.35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58"/>
      <c r="Z499" s="30"/>
      <c r="AA499" s="67"/>
      <c r="AB499" s="30"/>
      <c r="AC499" s="30"/>
      <c r="AD499" s="30"/>
      <c r="AE499" s="67"/>
      <c r="AF499" s="30"/>
      <c r="AG499" s="30"/>
      <c r="AH499" s="30"/>
      <c r="AI499" s="30"/>
      <c r="AJ499" s="30"/>
      <c r="AK499" s="30"/>
      <c r="AL499" s="30"/>
      <c r="AM499" s="30"/>
      <c r="AN499" s="30"/>
      <c r="AO499" s="5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</row>
    <row r="500" spans="1:61" ht="15.5" x14ac:dyDescent="0.35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58"/>
      <c r="Z500" s="30"/>
      <c r="AA500" s="67"/>
      <c r="AB500" s="30"/>
      <c r="AC500" s="30"/>
      <c r="AD500" s="30"/>
      <c r="AE500" s="67"/>
      <c r="AF500" s="30"/>
      <c r="AG500" s="30"/>
      <c r="AH500" s="30"/>
      <c r="AI500" s="30"/>
      <c r="AJ500" s="30"/>
      <c r="AK500" s="30"/>
      <c r="AL500" s="30"/>
      <c r="AM500" s="30"/>
      <c r="AN500" s="30"/>
      <c r="AO500" s="5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</row>
    <row r="501" spans="1:61" ht="15.5" x14ac:dyDescent="0.35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58"/>
      <c r="Z501" s="30"/>
      <c r="AA501" s="67"/>
      <c r="AB501" s="30"/>
      <c r="AC501" s="30"/>
      <c r="AD501" s="30"/>
      <c r="AE501" s="67"/>
      <c r="AF501" s="30"/>
      <c r="AG501" s="30"/>
      <c r="AH501" s="30"/>
      <c r="AI501" s="30"/>
      <c r="AJ501" s="30"/>
      <c r="AK501" s="30"/>
      <c r="AL501" s="30"/>
      <c r="AM501" s="30"/>
      <c r="AN501" s="30"/>
      <c r="AO501" s="5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</row>
    <row r="502" spans="1:61" ht="15.5" x14ac:dyDescent="0.35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58"/>
      <c r="Z502" s="30"/>
      <c r="AA502" s="67"/>
      <c r="AB502" s="30"/>
      <c r="AC502" s="30"/>
      <c r="AD502" s="30"/>
      <c r="AE502" s="67"/>
      <c r="AF502" s="30"/>
      <c r="AG502" s="30"/>
      <c r="AH502" s="30"/>
      <c r="AI502" s="30"/>
      <c r="AJ502" s="30"/>
      <c r="AK502" s="30"/>
      <c r="AL502" s="30"/>
      <c r="AM502" s="30"/>
      <c r="AN502" s="30"/>
      <c r="AO502" s="5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</row>
    <row r="503" spans="1:61" ht="15.5" x14ac:dyDescent="0.35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58"/>
      <c r="Z503" s="30"/>
      <c r="AA503" s="67"/>
      <c r="AB503" s="30"/>
      <c r="AC503" s="30"/>
      <c r="AD503" s="30"/>
      <c r="AE503" s="67"/>
      <c r="AF503" s="30"/>
      <c r="AG503" s="30"/>
      <c r="AH503" s="30"/>
      <c r="AI503" s="30"/>
      <c r="AJ503" s="30"/>
      <c r="AK503" s="30"/>
      <c r="AL503" s="30"/>
      <c r="AM503" s="30"/>
      <c r="AN503" s="30"/>
      <c r="AO503" s="5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</row>
    <row r="504" spans="1:61" ht="15.5" x14ac:dyDescent="0.35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58"/>
      <c r="Z504" s="30"/>
      <c r="AA504" s="67"/>
      <c r="AB504" s="30"/>
      <c r="AC504" s="30"/>
      <c r="AD504" s="30"/>
      <c r="AE504" s="67"/>
      <c r="AF504" s="30"/>
      <c r="AG504" s="30"/>
      <c r="AH504" s="30"/>
      <c r="AI504" s="30"/>
      <c r="AJ504" s="30"/>
      <c r="AK504" s="30"/>
      <c r="AL504" s="30"/>
      <c r="AM504" s="30"/>
      <c r="AN504" s="30"/>
      <c r="AO504" s="5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</row>
    <row r="505" spans="1:61" ht="15.5" x14ac:dyDescent="0.3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58"/>
      <c r="Z505" s="30"/>
      <c r="AA505" s="67"/>
      <c r="AB505" s="30"/>
      <c r="AC505" s="30"/>
      <c r="AD505" s="30"/>
      <c r="AE505" s="67"/>
      <c r="AF505" s="30"/>
      <c r="AG505" s="30"/>
      <c r="AH505" s="30"/>
      <c r="AI505" s="30"/>
      <c r="AJ505" s="30"/>
      <c r="AK505" s="30"/>
      <c r="AL505" s="30"/>
      <c r="AM505" s="30"/>
      <c r="AN505" s="30"/>
      <c r="AO505" s="5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</row>
    <row r="506" spans="1:61" ht="15.5" x14ac:dyDescent="0.35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58"/>
      <c r="Z506" s="30"/>
      <c r="AA506" s="67"/>
      <c r="AB506" s="30"/>
      <c r="AC506" s="30"/>
      <c r="AD506" s="30"/>
      <c r="AE506" s="67"/>
      <c r="AF506" s="30"/>
      <c r="AG506" s="30"/>
      <c r="AH506" s="30"/>
      <c r="AI506" s="30"/>
      <c r="AJ506" s="30"/>
      <c r="AK506" s="30"/>
      <c r="AL506" s="30"/>
      <c r="AM506" s="30"/>
      <c r="AN506" s="30"/>
      <c r="AO506" s="5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</row>
    <row r="507" spans="1:61" ht="15.5" x14ac:dyDescent="0.35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58"/>
      <c r="Z507" s="30"/>
      <c r="AA507" s="67"/>
      <c r="AB507" s="30"/>
      <c r="AC507" s="30"/>
      <c r="AD507" s="30"/>
      <c r="AE507" s="67"/>
      <c r="AF507" s="30"/>
      <c r="AG507" s="30"/>
      <c r="AH507" s="30"/>
      <c r="AI507" s="30"/>
      <c r="AJ507" s="30"/>
      <c r="AK507" s="30"/>
      <c r="AL507" s="30"/>
      <c r="AM507" s="30"/>
      <c r="AN507" s="30"/>
      <c r="AO507" s="5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</row>
    <row r="508" spans="1:61" ht="15.5" x14ac:dyDescent="0.35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58"/>
      <c r="Z508" s="30"/>
      <c r="AA508" s="67"/>
      <c r="AB508" s="30"/>
      <c r="AC508" s="30"/>
      <c r="AD508" s="30"/>
      <c r="AE508" s="67"/>
      <c r="AF508" s="30"/>
      <c r="AG508" s="30"/>
      <c r="AH508" s="30"/>
      <c r="AI508" s="30"/>
      <c r="AJ508" s="30"/>
      <c r="AK508" s="30"/>
      <c r="AL508" s="30"/>
      <c r="AM508" s="30"/>
      <c r="AN508" s="30"/>
      <c r="AO508" s="5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</row>
    <row r="509" spans="1:61" ht="15.5" x14ac:dyDescent="0.35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58"/>
      <c r="Z509" s="30"/>
      <c r="AA509" s="67"/>
      <c r="AB509" s="30"/>
      <c r="AC509" s="30"/>
      <c r="AD509" s="30"/>
      <c r="AE509" s="67"/>
      <c r="AF509" s="30"/>
      <c r="AG509" s="30"/>
      <c r="AH509" s="30"/>
      <c r="AI509" s="30"/>
      <c r="AJ509" s="30"/>
      <c r="AK509" s="30"/>
      <c r="AL509" s="30"/>
      <c r="AM509" s="30"/>
      <c r="AN509" s="30"/>
      <c r="AO509" s="5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</row>
    <row r="510" spans="1:61" ht="15.5" x14ac:dyDescent="0.35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58"/>
      <c r="Z510" s="30"/>
      <c r="AA510" s="67"/>
      <c r="AB510" s="30"/>
      <c r="AC510" s="30"/>
      <c r="AD510" s="30"/>
      <c r="AE510" s="67"/>
      <c r="AF510" s="30"/>
      <c r="AG510" s="30"/>
      <c r="AH510" s="30"/>
      <c r="AI510" s="30"/>
      <c r="AJ510" s="30"/>
      <c r="AK510" s="30"/>
      <c r="AL510" s="30"/>
      <c r="AM510" s="30"/>
      <c r="AN510" s="30"/>
      <c r="AO510" s="5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</row>
    <row r="511" spans="1:61" ht="15.5" x14ac:dyDescent="0.35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58"/>
      <c r="Z511" s="30"/>
      <c r="AA511" s="67"/>
      <c r="AB511" s="30"/>
      <c r="AC511" s="30"/>
      <c r="AD511" s="30"/>
      <c r="AE511" s="67"/>
      <c r="AF511" s="30"/>
      <c r="AG511" s="30"/>
      <c r="AH511" s="30"/>
      <c r="AI511" s="30"/>
      <c r="AJ511" s="30"/>
      <c r="AK511" s="30"/>
      <c r="AL511" s="30"/>
      <c r="AM511" s="30"/>
      <c r="AN511" s="30"/>
      <c r="AO511" s="5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</row>
    <row r="512" spans="1:61" ht="15.5" x14ac:dyDescent="0.3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58"/>
      <c r="Z512" s="30"/>
      <c r="AA512" s="67"/>
      <c r="AB512" s="30"/>
      <c r="AC512" s="30"/>
      <c r="AD512" s="30"/>
      <c r="AE512" s="67"/>
      <c r="AF512" s="30"/>
      <c r="AG512" s="30"/>
      <c r="AH512" s="30"/>
      <c r="AI512" s="30"/>
      <c r="AJ512" s="30"/>
      <c r="AK512" s="30"/>
      <c r="AL512" s="30"/>
      <c r="AM512" s="30"/>
      <c r="AN512" s="30"/>
      <c r="AO512" s="5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</row>
    <row r="513" spans="1:61" ht="15.5" x14ac:dyDescent="0.35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58"/>
      <c r="Z513" s="30"/>
      <c r="AA513" s="67"/>
      <c r="AB513" s="30"/>
      <c r="AC513" s="30"/>
      <c r="AD513" s="30"/>
      <c r="AE513" s="67"/>
      <c r="AF513" s="30"/>
      <c r="AG513" s="30"/>
      <c r="AH513" s="30"/>
      <c r="AI513" s="30"/>
      <c r="AJ513" s="30"/>
      <c r="AK513" s="30"/>
      <c r="AL513" s="30"/>
      <c r="AM513" s="30"/>
      <c r="AN513" s="30"/>
      <c r="AO513" s="5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</row>
    <row r="514" spans="1:61" ht="15.5" x14ac:dyDescent="0.35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58"/>
      <c r="Z514" s="30"/>
      <c r="AA514" s="67"/>
      <c r="AB514" s="30"/>
      <c r="AC514" s="30"/>
      <c r="AD514" s="30"/>
      <c r="AE514" s="67"/>
      <c r="AF514" s="30"/>
      <c r="AG514" s="30"/>
      <c r="AH514" s="30"/>
      <c r="AI514" s="30"/>
      <c r="AJ514" s="30"/>
      <c r="AK514" s="30"/>
      <c r="AL514" s="30"/>
      <c r="AM514" s="30"/>
      <c r="AN514" s="30"/>
      <c r="AO514" s="5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</row>
    <row r="515" spans="1:61" ht="15.5" x14ac:dyDescent="0.3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58"/>
      <c r="Z515" s="30"/>
      <c r="AA515" s="67"/>
      <c r="AB515" s="30"/>
      <c r="AC515" s="30"/>
      <c r="AD515" s="30"/>
      <c r="AE515" s="67"/>
      <c r="AF515" s="30"/>
      <c r="AG515" s="30"/>
      <c r="AH515" s="30"/>
      <c r="AI515" s="30"/>
      <c r="AJ515" s="30"/>
      <c r="AK515" s="30"/>
      <c r="AL515" s="30"/>
      <c r="AM515" s="30"/>
      <c r="AN515" s="30"/>
      <c r="AO515" s="5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</row>
    <row r="516" spans="1:61" ht="15.5" x14ac:dyDescent="0.35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58"/>
      <c r="Z516" s="30"/>
      <c r="AA516" s="67"/>
      <c r="AB516" s="30"/>
      <c r="AC516" s="30"/>
      <c r="AD516" s="30"/>
      <c r="AE516" s="67"/>
      <c r="AF516" s="30"/>
      <c r="AG516" s="30"/>
      <c r="AH516" s="30"/>
      <c r="AI516" s="30"/>
      <c r="AJ516" s="30"/>
      <c r="AK516" s="30"/>
      <c r="AL516" s="30"/>
      <c r="AM516" s="30"/>
      <c r="AN516" s="30"/>
      <c r="AO516" s="5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</row>
    <row r="517" spans="1:61" ht="15.5" x14ac:dyDescent="0.35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58"/>
      <c r="Z517" s="30"/>
      <c r="AA517" s="67"/>
      <c r="AB517" s="30"/>
      <c r="AC517" s="30"/>
      <c r="AD517" s="30"/>
      <c r="AE517" s="67"/>
      <c r="AF517" s="30"/>
      <c r="AG517" s="30"/>
      <c r="AH517" s="30"/>
      <c r="AI517" s="30"/>
      <c r="AJ517" s="30"/>
      <c r="AK517" s="30"/>
      <c r="AL517" s="30"/>
      <c r="AM517" s="30"/>
      <c r="AN517" s="30"/>
      <c r="AO517" s="5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</row>
    <row r="518" spans="1:61" ht="15.5" x14ac:dyDescent="0.35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58"/>
      <c r="Z518" s="30"/>
      <c r="AA518" s="67"/>
      <c r="AB518" s="30"/>
      <c r="AC518" s="30"/>
      <c r="AD518" s="30"/>
      <c r="AE518" s="67"/>
      <c r="AF518" s="30"/>
      <c r="AG518" s="30"/>
      <c r="AH518" s="30"/>
      <c r="AI518" s="30"/>
      <c r="AJ518" s="30"/>
      <c r="AK518" s="30"/>
      <c r="AL518" s="30"/>
      <c r="AM518" s="30"/>
      <c r="AN518" s="30"/>
      <c r="AO518" s="5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</row>
    <row r="519" spans="1:61" ht="15.5" x14ac:dyDescent="0.35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58"/>
      <c r="Z519" s="30"/>
      <c r="AA519" s="67"/>
      <c r="AB519" s="30"/>
      <c r="AC519" s="30"/>
      <c r="AD519" s="30"/>
      <c r="AE519" s="67"/>
      <c r="AF519" s="30"/>
      <c r="AG519" s="30"/>
      <c r="AH519" s="30"/>
      <c r="AI519" s="30"/>
      <c r="AJ519" s="30"/>
      <c r="AK519" s="30"/>
      <c r="AL519" s="30"/>
      <c r="AM519" s="30"/>
      <c r="AN519" s="30"/>
      <c r="AO519" s="5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</row>
    <row r="520" spans="1:61" ht="15.5" x14ac:dyDescent="0.35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58"/>
      <c r="Z520" s="30"/>
      <c r="AA520" s="67"/>
      <c r="AB520" s="30"/>
      <c r="AC520" s="30"/>
      <c r="AD520" s="30"/>
      <c r="AE520" s="67"/>
      <c r="AF520" s="30"/>
      <c r="AG520" s="30"/>
      <c r="AH520" s="30"/>
      <c r="AI520" s="30"/>
      <c r="AJ520" s="30"/>
      <c r="AK520" s="30"/>
      <c r="AL520" s="30"/>
      <c r="AM520" s="30"/>
      <c r="AN520" s="30"/>
      <c r="AO520" s="5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</row>
    <row r="521" spans="1:61" ht="15.5" x14ac:dyDescent="0.35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58"/>
      <c r="Z521" s="30"/>
      <c r="AA521" s="67"/>
      <c r="AB521" s="30"/>
      <c r="AC521" s="30"/>
      <c r="AD521" s="30"/>
      <c r="AE521" s="67"/>
      <c r="AF521" s="30"/>
      <c r="AG521" s="30"/>
      <c r="AH521" s="30"/>
      <c r="AI521" s="30"/>
      <c r="AJ521" s="30"/>
      <c r="AK521" s="30"/>
      <c r="AL521" s="30"/>
      <c r="AM521" s="30"/>
      <c r="AN521" s="30"/>
      <c r="AO521" s="5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</row>
    <row r="522" spans="1:61" ht="15.5" x14ac:dyDescent="0.35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58"/>
      <c r="Z522" s="30"/>
      <c r="AA522" s="67"/>
      <c r="AB522" s="30"/>
      <c r="AC522" s="30"/>
      <c r="AD522" s="30"/>
      <c r="AE522" s="67"/>
      <c r="AF522" s="30"/>
      <c r="AG522" s="30"/>
      <c r="AH522" s="30"/>
      <c r="AI522" s="30"/>
      <c r="AJ522" s="30"/>
      <c r="AK522" s="30"/>
      <c r="AL522" s="30"/>
      <c r="AM522" s="30"/>
      <c r="AN522" s="30"/>
      <c r="AO522" s="5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</row>
    <row r="523" spans="1:61" ht="15.5" x14ac:dyDescent="0.35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58"/>
      <c r="Z523" s="30"/>
      <c r="AA523" s="67"/>
      <c r="AB523" s="30"/>
      <c r="AC523" s="30"/>
      <c r="AD523" s="30"/>
      <c r="AE523" s="67"/>
      <c r="AF523" s="30"/>
      <c r="AG523" s="30"/>
      <c r="AH523" s="30"/>
      <c r="AI523" s="30"/>
      <c r="AJ523" s="30"/>
      <c r="AK523" s="30"/>
      <c r="AL523" s="30"/>
      <c r="AM523" s="30"/>
      <c r="AN523" s="30"/>
      <c r="AO523" s="5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</row>
    <row r="524" spans="1:61" ht="15.5" x14ac:dyDescent="0.35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58"/>
      <c r="Z524" s="30"/>
      <c r="AA524" s="67"/>
      <c r="AB524" s="30"/>
      <c r="AC524" s="30"/>
      <c r="AD524" s="30"/>
      <c r="AE524" s="67"/>
      <c r="AF524" s="30"/>
      <c r="AG524" s="30"/>
      <c r="AH524" s="30"/>
      <c r="AI524" s="30"/>
      <c r="AJ524" s="30"/>
      <c r="AK524" s="30"/>
      <c r="AL524" s="30"/>
      <c r="AM524" s="30"/>
      <c r="AN524" s="30"/>
      <c r="AO524" s="5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</row>
    <row r="525" spans="1:61" ht="15.5" x14ac:dyDescent="0.3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58"/>
      <c r="Z525" s="30"/>
      <c r="AA525" s="67"/>
      <c r="AB525" s="30"/>
      <c r="AC525" s="30"/>
      <c r="AD525" s="30"/>
      <c r="AE525" s="67"/>
      <c r="AF525" s="30"/>
      <c r="AG525" s="30"/>
      <c r="AH525" s="30"/>
      <c r="AI525" s="30"/>
      <c r="AJ525" s="30"/>
      <c r="AK525" s="30"/>
      <c r="AL525" s="30"/>
      <c r="AM525" s="30"/>
      <c r="AN525" s="30"/>
      <c r="AO525" s="5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</row>
    <row r="526" spans="1:61" ht="15.5" x14ac:dyDescent="0.3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58"/>
      <c r="Z526" s="30"/>
      <c r="AA526" s="67"/>
      <c r="AB526" s="30"/>
      <c r="AC526" s="30"/>
      <c r="AD526" s="30"/>
      <c r="AE526" s="67"/>
      <c r="AF526" s="30"/>
      <c r="AG526" s="30"/>
      <c r="AH526" s="30"/>
      <c r="AI526" s="30"/>
      <c r="AJ526" s="30"/>
      <c r="AK526" s="30"/>
      <c r="AL526" s="30"/>
      <c r="AM526" s="30"/>
      <c r="AN526" s="30"/>
      <c r="AO526" s="5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</row>
    <row r="527" spans="1:61" ht="15.5" x14ac:dyDescent="0.35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58"/>
      <c r="Z527" s="30"/>
      <c r="AA527" s="67"/>
      <c r="AB527" s="30"/>
      <c r="AC527" s="30"/>
      <c r="AD527" s="30"/>
      <c r="AE527" s="67"/>
      <c r="AF527" s="30"/>
      <c r="AG527" s="30"/>
      <c r="AH527" s="30"/>
      <c r="AI527" s="30"/>
      <c r="AJ527" s="30"/>
      <c r="AK527" s="30"/>
      <c r="AL527" s="30"/>
      <c r="AM527" s="30"/>
      <c r="AN527" s="30"/>
      <c r="AO527" s="5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</row>
    <row r="528" spans="1:61" ht="15.5" x14ac:dyDescent="0.35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58"/>
      <c r="Z528" s="30"/>
      <c r="AA528" s="67"/>
      <c r="AB528" s="30"/>
      <c r="AC528" s="30"/>
      <c r="AD528" s="30"/>
      <c r="AE528" s="67"/>
      <c r="AF528" s="30"/>
      <c r="AG528" s="30"/>
      <c r="AH528" s="30"/>
      <c r="AI528" s="30"/>
      <c r="AJ528" s="30"/>
      <c r="AK528" s="30"/>
      <c r="AL528" s="30"/>
      <c r="AM528" s="30"/>
      <c r="AN528" s="30"/>
      <c r="AO528" s="5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</row>
    <row r="529" spans="1:61" ht="15.5" x14ac:dyDescent="0.35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58"/>
      <c r="Z529" s="30"/>
      <c r="AA529" s="67"/>
      <c r="AB529" s="30"/>
      <c r="AC529" s="30"/>
      <c r="AD529" s="30"/>
      <c r="AE529" s="67"/>
      <c r="AF529" s="30"/>
      <c r="AG529" s="30"/>
      <c r="AH529" s="30"/>
      <c r="AI529" s="30"/>
      <c r="AJ529" s="30"/>
      <c r="AK529" s="30"/>
      <c r="AL529" s="30"/>
      <c r="AM529" s="30"/>
      <c r="AN529" s="30"/>
      <c r="AO529" s="5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</row>
    <row r="530" spans="1:61" ht="15.5" x14ac:dyDescent="0.35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58"/>
      <c r="Z530" s="30"/>
      <c r="AA530" s="67"/>
      <c r="AB530" s="30"/>
      <c r="AC530" s="30"/>
      <c r="AD530" s="30"/>
      <c r="AE530" s="67"/>
      <c r="AF530" s="30"/>
      <c r="AG530" s="30"/>
      <c r="AH530" s="30"/>
      <c r="AI530" s="30"/>
      <c r="AJ530" s="30"/>
      <c r="AK530" s="30"/>
      <c r="AL530" s="30"/>
      <c r="AM530" s="30"/>
      <c r="AN530" s="30"/>
      <c r="AO530" s="5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</row>
    <row r="531" spans="1:61" ht="15.5" x14ac:dyDescent="0.35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58"/>
      <c r="Z531" s="30"/>
      <c r="AA531" s="67"/>
      <c r="AB531" s="30"/>
      <c r="AC531" s="30"/>
      <c r="AD531" s="30"/>
      <c r="AE531" s="67"/>
      <c r="AF531" s="30"/>
      <c r="AG531" s="30"/>
      <c r="AH531" s="30"/>
      <c r="AI531" s="30"/>
      <c r="AJ531" s="30"/>
      <c r="AK531" s="30"/>
      <c r="AL531" s="30"/>
      <c r="AM531" s="30"/>
      <c r="AN531" s="30"/>
      <c r="AO531" s="5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</row>
    <row r="532" spans="1:61" ht="15.5" x14ac:dyDescent="0.35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58"/>
      <c r="Z532" s="30"/>
      <c r="AA532" s="67"/>
      <c r="AB532" s="30"/>
      <c r="AC532" s="30"/>
      <c r="AD532" s="30"/>
      <c r="AE532" s="67"/>
      <c r="AF532" s="30"/>
      <c r="AG532" s="30"/>
      <c r="AH532" s="30"/>
      <c r="AI532" s="30"/>
      <c r="AJ532" s="30"/>
      <c r="AK532" s="30"/>
      <c r="AL532" s="30"/>
      <c r="AM532" s="30"/>
      <c r="AN532" s="30"/>
      <c r="AO532" s="5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</row>
    <row r="533" spans="1:61" ht="15.5" x14ac:dyDescent="0.35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58"/>
      <c r="Z533" s="30"/>
      <c r="AA533" s="67"/>
      <c r="AB533" s="30"/>
      <c r="AC533" s="30"/>
      <c r="AD533" s="30"/>
      <c r="AE533" s="67"/>
      <c r="AF533" s="30"/>
      <c r="AG533" s="30"/>
      <c r="AH533" s="30"/>
      <c r="AI533" s="30"/>
      <c r="AJ533" s="30"/>
      <c r="AK533" s="30"/>
      <c r="AL533" s="30"/>
      <c r="AM533" s="30"/>
      <c r="AN533" s="30"/>
      <c r="AO533" s="5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</row>
    <row r="534" spans="1:61" ht="15.5" x14ac:dyDescent="0.35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58"/>
      <c r="Z534" s="30"/>
      <c r="AA534" s="67"/>
      <c r="AB534" s="30"/>
      <c r="AC534" s="30"/>
      <c r="AD534" s="30"/>
      <c r="AE534" s="67"/>
      <c r="AF534" s="30"/>
      <c r="AG534" s="30"/>
      <c r="AH534" s="30"/>
      <c r="AI534" s="30"/>
      <c r="AJ534" s="30"/>
      <c r="AK534" s="30"/>
      <c r="AL534" s="30"/>
      <c r="AM534" s="30"/>
      <c r="AN534" s="30"/>
      <c r="AO534" s="5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</row>
    <row r="535" spans="1:61" ht="15.5" x14ac:dyDescent="0.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58"/>
      <c r="Z535" s="30"/>
      <c r="AA535" s="67"/>
      <c r="AB535" s="30"/>
      <c r="AC535" s="30"/>
      <c r="AD535" s="30"/>
      <c r="AE535" s="67"/>
      <c r="AF535" s="30"/>
      <c r="AG535" s="30"/>
      <c r="AH535" s="30"/>
      <c r="AI535" s="30"/>
      <c r="AJ535" s="30"/>
      <c r="AK535" s="30"/>
      <c r="AL535" s="30"/>
      <c r="AM535" s="30"/>
      <c r="AN535" s="30"/>
      <c r="AO535" s="5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</row>
    <row r="536" spans="1:61" ht="15.5" x14ac:dyDescent="0.35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58"/>
      <c r="Z536" s="30"/>
      <c r="AA536" s="67"/>
      <c r="AB536" s="30"/>
      <c r="AC536" s="30"/>
      <c r="AD536" s="30"/>
      <c r="AE536" s="67"/>
      <c r="AF536" s="30"/>
      <c r="AG536" s="30"/>
      <c r="AH536" s="30"/>
      <c r="AI536" s="30"/>
      <c r="AJ536" s="30"/>
      <c r="AK536" s="30"/>
      <c r="AL536" s="30"/>
      <c r="AM536" s="30"/>
      <c r="AN536" s="30"/>
      <c r="AO536" s="5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</row>
    <row r="537" spans="1:61" ht="15.5" x14ac:dyDescent="0.35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58"/>
      <c r="Z537" s="30"/>
      <c r="AA537" s="67"/>
      <c r="AB537" s="30"/>
      <c r="AC537" s="30"/>
      <c r="AD537" s="30"/>
      <c r="AE537" s="67"/>
      <c r="AF537" s="30"/>
      <c r="AG537" s="30"/>
      <c r="AH537" s="30"/>
      <c r="AI537" s="30"/>
      <c r="AJ537" s="30"/>
      <c r="AK537" s="30"/>
      <c r="AL537" s="30"/>
      <c r="AM537" s="30"/>
      <c r="AN537" s="30"/>
      <c r="AO537" s="5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</row>
    <row r="538" spans="1:61" ht="15.5" x14ac:dyDescent="0.35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58"/>
      <c r="Z538" s="30"/>
      <c r="AA538" s="67"/>
      <c r="AB538" s="30"/>
      <c r="AC538" s="30"/>
      <c r="AD538" s="30"/>
      <c r="AE538" s="67"/>
      <c r="AF538" s="30"/>
      <c r="AG538" s="30"/>
      <c r="AH538" s="30"/>
      <c r="AI538" s="30"/>
      <c r="AJ538" s="30"/>
      <c r="AK538" s="30"/>
      <c r="AL538" s="30"/>
      <c r="AM538" s="30"/>
      <c r="AN538" s="30"/>
      <c r="AO538" s="5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</row>
    <row r="539" spans="1:61" ht="15.5" x14ac:dyDescent="0.35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58"/>
      <c r="Z539" s="30"/>
      <c r="AA539" s="67"/>
      <c r="AB539" s="30"/>
      <c r="AC539" s="30"/>
      <c r="AD539" s="30"/>
      <c r="AE539" s="67"/>
      <c r="AF539" s="30"/>
      <c r="AG539" s="30"/>
      <c r="AH539" s="30"/>
      <c r="AI539" s="30"/>
      <c r="AJ539" s="30"/>
      <c r="AK539" s="30"/>
      <c r="AL539" s="30"/>
      <c r="AM539" s="30"/>
      <c r="AN539" s="30"/>
      <c r="AO539" s="5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</row>
    <row r="540" spans="1:61" ht="15.5" x14ac:dyDescent="0.35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58"/>
      <c r="Z540" s="30"/>
      <c r="AA540" s="67"/>
      <c r="AB540" s="30"/>
      <c r="AC540" s="30"/>
      <c r="AD540" s="30"/>
      <c r="AE540" s="67"/>
      <c r="AF540" s="30"/>
      <c r="AG540" s="30"/>
      <c r="AH540" s="30"/>
      <c r="AI540" s="30"/>
      <c r="AJ540" s="30"/>
      <c r="AK540" s="30"/>
      <c r="AL540" s="30"/>
      <c r="AM540" s="30"/>
      <c r="AN540" s="30"/>
      <c r="AO540" s="5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</row>
    <row r="541" spans="1:61" ht="15.5" x14ac:dyDescent="0.35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58"/>
      <c r="Z541" s="30"/>
      <c r="AA541" s="67"/>
      <c r="AB541" s="30"/>
      <c r="AC541" s="30"/>
      <c r="AD541" s="30"/>
      <c r="AE541" s="67"/>
      <c r="AF541" s="30"/>
      <c r="AG541" s="30"/>
      <c r="AH541" s="30"/>
      <c r="AI541" s="30"/>
      <c r="AJ541" s="30"/>
      <c r="AK541" s="30"/>
      <c r="AL541" s="30"/>
      <c r="AM541" s="30"/>
      <c r="AN541" s="30"/>
      <c r="AO541" s="5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</row>
    <row r="542" spans="1:61" ht="15.5" x14ac:dyDescent="0.35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58"/>
      <c r="Z542" s="30"/>
      <c r="AA542" s="67"/>
      <c r="AB542" s="30"/>
      <c r="AC542" s="30"/>
      <c r="AD542" s="30"/>
      <c r="AE542" s="67"/>
      <c r="AF542" s="30"/>
      <c r="AG542" s="30"/>
      <c r="AH542" s="30"/>
      <c r="AI542" s="30"/>
      <c r="AJ542" s="30"/>
      <c r="AK542" s="30"/>
      <c r="AL542" s="30"/>
      <c r="AM542" s="30"/>
      <c r="AN542" s="30"/>
      <c r="AO542" s="5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</row>
    <row r="543" spans="1:61" ht="15.5" x14ac:dyDescent="0.35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58"/>
      <c r="Z543" s="30"/>
      <c r="AA543" s="67"/>
      <c r="AB543" s="30"/>
      <c r="AC543" s="30"/>
      <c r="AD543" s="30"/>
      <c r="AE543" s="67"/>
      <c r="AF543" s="30"/>
      <c r="AG543" s="30"/>
      <c r="AH543" s="30"/>
      <c r="AI543" s="30"/>
      <c r="AJ543" s="30"/>
      <c r="AK543" s="30"/>
      <c r="AL543" s="30"/>
      <c r="AM543" s="30"/>
      <c r="AN543" s="30"/>
      <c r="AO543" s="5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</row>
    <row r="544" spans="1:61" ht="15.5" x14ac:dyDescent="0.35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58"/>
      <c r="Z544" s="30"/>
      <c r="AA544" s="67"/>
      <c r="AB544" s="30"/>
      <c r="AC544" s="30"/>
      <c r="AD544" s="30"/>
      <c r="AE544" s="67"/>
      <c r="AF544" s="30"/>
      <c r="AG544" s="30"/>
      <c r="AH544" s="30"/>
      <c r="AI544" s="30"/>
      <c r="AJ544" s="30"/>
      <c r="AK544" s="30"/>
      <c r="AL544" s="30"/>
      <c r="AM544" s="30"/>
      <c r="AN544" s="30"/>
      <c r="AO544" s="5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</row>
    <row r="545" spans="1:61" ht="15.5" x14ac:dyDescent="0.3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58"/>
      <c r="Z545" s="30"/>
      <c r="AA545" s="67"/>
      <c r="AB545" s="30"/>
      <c r="AC545" s="30"/>
      <c r="AD545" s="30"/>
      <c r="AE545" s="67"/>
      <c r="AF545" s="30"/>
      <c r="AG545" s="30"/>
      <c r="AH545" s="30"/>
      <c r="AI545" s="30"/>
      <c r="AJ545" s="30"/>
      <c r="AK545" s="30"/>
      <c r="AL545" s="30"/>
      <c r="AM545" s="30"/>
      <c r="AN545" s="30"/>
      <c r="AO545" s="5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</row>
    <row r="546" spans="1:61" ht="15.5" x14ac:dyDescent="0.35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58"/>
      <c r="Z546" s="30"/>
      <c r="AA546" s="67"/>
      <c r="AB546" s="30"/>
      <c r="AC546" s="30"/>
      <c r="AD546" s="30"/>
      <c r="AE546" s="67"/>
      <c r="AF546" s="30"/>
      <c r="AG546" s="30"/>
      <c r="AH546" s="30"/>
      <c r="AI546" s="30"/>
      <c r="AJ546" s="30"/>
      <c r="AK546" s="30"/>
      <c r="AL546" s="30"/>
      <c r="AM546" s="30"/>
      <c r="AN546" s="30"/>
      <c r="AO546" s="5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</row>
    <row r="547" spans="1:61" ht="15.5" x14ac:dyDescent="0.35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58"/>
      <c r="Z547" s="30"/>
      <c r="AA547" s="67"/>
      <c r="AB547" s="30"/>
      <c r="AC547" s="30"/>
      <c r="AD547" s="30"/>
      <c r="AE547" s="67"/>
      <c r="AF547" s="30"/>
      <c r="AG547" s="30"/>
      <c r="AH547" s="30"/>
      <c r="AI547" s="30"/>
      <c r="AJ547" s="30"/>
      <c r="AK547" s="30"/>
      <c r="AL547" s="30"/>
      <c r="AM547" s="30"/>
      <c r="AN547" s="30"/>
      <c r="AO547" s="5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</row>
    <row r="548" spans="1:61" ht="15.5" x14ac:dyDescent="0.35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58"/>
      <c r="Z548" s="30"/>
      <c r="AA548" s="67"/>
      <c r="AB548" s="30"/>
      <c r="AC548" s="30"/>
      <c r="AD548" s="30"/>
      <c r="AE548" s="67"/>
      <c r="AF548" s="30"/>
      <c r="AG548" s="30"/>
      <c r="AH548" s="30"/>
      <c r="AI548" s="30"/>
      <c r="AJ548" s="30"/>
      <c r="AK548" s="30"/>
      <c r="AL548" s="30"/>
      <c r="AM548" s="30"/>
      <c r="AN548" s="30"/>
      <c r="AO548" s="5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</row>
    <row r="549" spans="1:61" ht="15.5" x14ac:dyDescent="0.35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58"/>
      <c r="Z549" s="30"/>
      <c r="AA549" s="67"/>
      <c r="AB549" s="30"/>
      <c r="AC549" s="30"/>
      <c r="AD549" s="30"/>
      <c r="AE549" s="67"/>
      <c r="AF549" s="30"/>
      <c r="AG549" s="30"/>
      <c r="AH549" s="30"/>
      <c r="AI549" s="30"/>
      <c r="AJ549" s="30"/>
      <c r="AK549" s="30"/>
      <c r="AL549" s="30"/>
      <c r="AM549" s="30"/>
      <c r="AN549" s="30"/>
      <c r="AO549" s="5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</row>
    <row r="550" spans="1:61" ht="15.5" x14ac:dyDescent="0.35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58"/>
      <c r="Z550" s="30"/>
      <c r="AA550" s="67"/>
      <c r="AB550" s="30"/>
      <c r="AC550" s="30"/>
      <c r="AD550" s="30"/>
      <c r="AE550" s="67"/>
      <c r="AF550" s="30"/>
      <c r="AG550" s="30"/>
      <c r="AH550" s="30"/>
      <c r="AI550" s="30"/>
      <c r="AJ550" s="30"/>
      <c r="AK550" s="30"/>
      <c r="AL550" s="30"/>
      <c r="AM550" s="30"/>
      <c r="AN550" s="30"/>
      <c r="AO550" s="5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</row>
    <row r="551" spans="1:61" ht="15.5" x14ac:dyDescent="0.35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58"/>
      <c r="Z551" s="30"/>
      <c r="AA551" s="67"/>
      <c r="AB551" s="30"/>
      <c r="AC551" s="30"/>
      <c r="AD551" s="30"/>
      <c r="AE551" s="67"/>
      <c r="AF551" s="30"/>
      <c r="AG551" s="30"/>
      <c r="AH551" s="30"/>
      <c r="AI551" s="30"/>
      <c r="AJ551" s="30"/>
      <c r="AK551" s="30"/>
      <c r="AL551" s="30"/>
      <c r="AM551" s="30"/>
      <c r="AN551" s="30"/>
      <c r="AO551" s="5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</row>
    <row r="552" spans="1:61" ht="15.5" x14ac:dyDescent="0.35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58"/>
      <c r="Z552" s="30"/>
      <c r="AA552" s="67"/>
      <c r="AB552" s="30"/>
      <c r="AC552" s="30"/>
      <c r="AD552" s="30"/>
      <c r="AE552" s="67"/>
      <c r="AF552" s="30"/>
      <c r="AG552" s="30"/>
      <c r="AH552" s="30"/>
      <c r="AI552" s="30"/>
      <c r="AJ552" s="30"/>
      <c r="AK552" s="30"/>
      <c r="AL552" s="30"/>
      <c r="AM552" s="30"/>
      <c r="AN552" s="30"/>
      <c r="AO552" s="5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</row>
    <row r="553" spans="1:61" ht="15.5" x14ac:dyDescent="0.35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58"/>
      <c r="Z553" s="30"/>
      <c r="AA553" s="67"/>
      <c r="AB553" s="30"/>
      <c r="AC553" s="30"/>
      <c r="AD553" s="30"/>
      <c r="AE553" s="67"/>
      <c r="AF553" s="30"/>
      <c r="AG553" s="30"/>
      <c r="AH553" s="30"/>
      <c r="AI553" s="30"/>
      <c r="AJ553" s="30"/>
      <c r="AK553" s="30"/>
      <c r="AL553" s="30"/>
      <c r="AM553" s="30"/>
      <c r="AN553" s="30"/>
      <c r="AO553" s="5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</row>
    <row r="554" spans="1:61" ht="15.5" x14ac:dyDescent="0.35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58"/>
      <c r="Z554" s="30"/>
      <c r="AA554" s="67"/>
      <c r="AB554" s="30"/>
      <c r="AC554" s="30"/>
      <c r="AD554" s="30"/>
      <c r="AE554" s="67"/>
      <c r="AF554" s="30"/>
      <c r="AG554" s="30"/>
      <c r="AH554" s="30"/>
      <c r="AI554" s="30"/>
      <c r="AJ554" s="30"/>
      <c r="AK554" s="30"/>
      <c r="AL554" s="30"/>
      <c r="AM554" s="30"/>
      <c r="AN554" s="30"/>
      <c r="AO554" s="5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</row>
    <row r="555" spans="1:61" ht="15.5" x14ac:dyDescent="0.3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58"/>
      <c r="Z555" s="30"/>
      <c r="AA555" s="67"/>
      <c r="AB555" s="30"/>
      <c r="AC555" s="30"/>
      <c r="AD555" s="30"/>
      <c r="AE555" s="67"/>
      <c r="AF555" s="30"/>
      <c r="AG555" s="30"/>
      <c r="AH555" s="30"/>
      <c r="AI555" s="30"/>
      <c r="AJ555" s="30"/>
      <c r="AK555" s="30"/>
      <c r="AL555" s="30"/>
      <c r="AM555" s="30"/>
      <c r="AN555" s="30"/>
      <c r="AO555" s="5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</row>
    <row r="556" spans="1:61" ht="15.5" x14ac:dyDescent="0.35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58"/>
      <c r="Z556" s="30"/>
      <c r="AA556" s="67"/>
      <c r="AB556" s="30"/>
      <c r="AC556" s="30"/>
      <c r="AD556" s="30"/>
      <c r="AE556" s="67"/>
      <c r="AF556" s="30"/>
      <c r="AG556" s="30"/>
      <c r="AH556" s="30"/>
      <c r="AI556" s="30"/>
      <c r="AJ556" s="30"/>
      <c r="AK556" s="30"/>
      <c r="AL556" s="30"/>
      <c r="AM556" s="30"/>
      <c r="AN556" s="30"/>
      <c r="AO556" s="5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</row>
    <row r="557" spans="1:61" ht="15.5" x14ac:dyDescent="0.35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58"/>
      <c r="Z557" s="30"/>
      <c r="AA557" s="67"/>
      <c r="AB557" s="30"/>
      <c r="AC557" s="30"/>
      <c r="AD557" s="30"/>
      <c r="AE557" s="67"/>
      <c r="AF557" s="30"/>
      <c r="AG557" s="30"/>
      <c r="AH557" s="30"/>
      <c r="AI557" s="30"/>
      <c r="AJ557" s="30"/>
      <c r="AK557" s="30"/>
      <c r="AL557" s="30"/>
      <c r="AM557" s="30"/>
      <c r="AN557" s="30"/>
      <c r="AO557" s="5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</row>
    <row r="558" spans="1:61" ht="15.5" x14ac:dyDescent="0.35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58"/>
      <c r="Z558" s="30"/>
      <c r="AA558" s="67"/>
      <c r="AB558" s="30"/>
      <c r="AC558" s="30"/>
      <c r="AD558" s="30"/>
      <c r="AE558" s="67"/>
      <c r="AF558" s="30"/>
      <c r="AG558" s="30"/>
      <c r="AH558" s="30"/>
      <c r="AI558" s="30"/>
      <c r="AJ558" s="30"/>
      <c r="AK558" s="30"/>
      <c r="AL558" s="30"/>
      <c r="AM558" s="30"/>
      <c r="AN558" s="30"/>
      <c r="AO558" s="5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</row>
    <row r="559" spans="1:61" ht="15.5" x14ac:dyDescent="0.35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58"/>
      <c r="Z559" s="30"/>
      <c r="AA559" s="67"/>
      <c r="AB559" s="30"/>
      <c r="AC559" s="30"/>
      <c r="AD559" s="30"/>
      <c r="AE559" s="67"/>
      <c r="AF559" s="30"/>
      <c r="AG559" s="30"/>
      <c r="AH559" s="30"/>
      <c r="AI559" s="30"/>
      <c r="AJ559" s="30"/>
      <c r="AK559" s="30"/>
      <c r="AL559" s="30"/>
      <c r="AM559" s="30"/>
      <c r="AN559" s="30"/>
      <c r="AO559" s="5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</row>
    <row r="560" spans="1:61" ht="15.5" x14ac:dyDescent="0.35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58"/>
      <c r="Z560" s="30"/>
      <c r="AA560" s="67"/>
      <c r="AB560" s="30"/>
      <c r="AC560" s="30"/>
      <c r="AD560" s="30"/>
      <c r="AE560" s="67"/>
      <c r="AF560" s="30"/>
      <c r="AG560" s="30"/>
      <c r="AH560" s="30"/>
      <c r="AI560" s="30"/>
      <c r="AJ560" s="30"/>
      <c r="AK560" s="30"/>
      <c r="AL560" s="30"/>
      <c r="AM560" s="30"/>
      <c r="AN560" s="30"/>
      <c r="AO560" s="5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</row>
    <row r="561" spans="1:61" ht="15.5" x14ac:dyDescent="0.35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58"/>
      <c r="Z561" s="30"/>
      <c r="AA561" s="67"/>
      <c r="AB561" s="30"/>
      <c r="AC561" s="30"/>
      <c r="AD561" s="30"/>
      <c r="AE561" s="67"/>
      <c r="AF561" s="30"/>
      <c r="AG561" s="30"/>
      <c r="AH561" s="30"/>
      <c r="AI561" s="30"/>
      <c r="AJ561" s="30"/>
      <c r="AK561" s="30"/>
      <c r="AL561" s="30"/>
      <c r="AM561" s="30"/>
      <c r="AN561" s="30"/>
      <c r="AO561" s="5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</row>
    <row r="562" spans="1:61" ht="15.5" x14ac:dyDescent="0.35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58"/>
      <c r="Z562" s="30"/>
      <c r="AA562" s="67"/>
      <c r="AB562" s="30"/>
      <c r="AC562" s="30"/>
      <c r="AD562" s="30"/>
      <c r="AE562" s="67"/>
      <c r="AF562" s="30"/>
      <c r="AG562" s="30"/>
      <c r="AH562" s="30"/>
      <c r="AI562" s="30"/>
      <c r="AJ562" s="30"/>
      <c r="AK562" s="30"/>
      <c r="AL562" s="30"/>
      <c r="AM562" s="30"/>
      <c r="AN562" s="30"/>
      <c r="AO562" s="5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</row>
    <row r="563" spans="1:61" ht="15.5" x14ac:dyDescent="0.35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58"/>
      <c r="Z563" s="30"/>
      <c r="AA563" s="67"/>
      <c r="AB563" s="30"/>
      <c r="AC563" s="30"/>
      <c r="AD563" s="30"/>
      <c r="AE563" s="67"/>
      <c r="AF563" s="30"/>
      <c r="AG563" s="30"/>
      <c r="AH563" s="30"/>
      <c r="AI563" s="30"/>
      <c r="AJ563" s="30"/>
      <c r="AK563" s="30"/>
      <c r="AL563" s="30"/>
      <c r="AM563" s="30"/>
      <c r="AN563" s="30"/>
      <c r="AO563" s="5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</row>
    <row r="564" spans="1:61" ht="15.5" x14ac:dyDescent="0.35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58"/>
      <c r="Z564" s="30"/>
      <c r="AA564" s="67"/>
      <c r="AB564" s="30"/>
      <c r="AC564" s="30"/>
      <c r="AD564" s="30"/>
      <c r="AE564" s="67"/>
      <c r="AF564" s="30"/>
      <c r="AG564" s="30"/>
      <c r="AH564" s="30"/>
      <c r="AI564" s="30"/>
      <c r="AJ564" s="30"/>
      <c r="AK564" s="30"/>
      <c r="AL564" s="30"/>
      <c r="AM564" s="30"/>
      <c r="AN564" s="30"/>
      <c r="AO564" s="5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</row>
    <row r="565" spans="1:61" ht="15.5" x14ac:dyDescent="0.3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58"/>
      <c r="Z565" s="30"/>
      <c r="AA565" s="67"/>
      <c r="AB565" s="30"/>
      <c r="AC565" s="30"/>
      <c r="AD565" s="30"/>
      <c r="AE565" s="67"/>
      <c r="AF565" s="30"/>
      <c r="AG565" s="30"/>
      <c r="AH565" s="30"/>
      <c r="AI565" s="30"/>
      <c r="AJ565" s="30"/>
      <c r="AK565" s="30"/>
      <c r="AL565" s="30"/>
      <c r="AM565" s="30"/>
      <c r="AN565" s="30"/>
      <c r="AO565" s="5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</row>
    <row r="566" spans="1:61" ht="15.5" x14ac:dyDescent="0.35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58"/>
      <c r="Z566" s="30"/>
      <c r="AA566" s="67"/>
      <c r="AB566" s="30"/>
      <c r="AC566" s="30"/>
      <c r="AD566" s="30"/>
      <c r="AE566" s="67"/>
      <c r="AF566" s="30"/>
      <c r="AG566" s="30"/>
      <c r="AH566" s="30"/>
      <c r="AI566" s="30"/>
      <c r="AJ566" s="30"/>
      <c r="AK566" s="30"/>
      <c r="AL566" s="30"/>
      <c r="AM566" s="30"/>
      <c r="AN566" s="30"/>
      <c r="AO566" s="5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</row>
    <row r="567" spans="1:61" ht="15.5" x14ac:dyDescent="0.35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58"/>
      <c r="Z567" s="30"/>
      <c r="AA567" s="67"/>
      <c r="AB567" s="30"/>
      <c r="AC567" s="30"/>
      <c r="AD567" s="30"/>
      <c r="AE567" s="67"/>
      <c r="AF567" s="30"/>
      <c r="AG567" s="30"/>
      <c r="AH567" s="30"/>
      <c r="AI567" s="30"/>
      <c r="AJ567" s="30"/>
      <c r="AK567" s="30"/>
      <c r="AL567" s="30"/>
      <c r="AM567" s="30"/>
      <c r="AN567" s="30"/>
      <c r="AO567" s="5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</row>
    <row r="568" spans="1:61" ht="15.5" x14ac:dyDescent="0.35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58"/>
      <c r="Z568" s="30"/>
      <c r="AA568" s="67"/>
      <c r="AB568" s="30"/>
      <c r="AC568" s="30"/>
      <c r="AD568" s="30"/>
      <c r="AE568" s="67"/>
      <c r="AF568" s="30"/>
      <c r="AG568" s="30"/>
      <c r="AH568" s="30"/>
      <c r="AI568" s="30"/>
      <c r="AJ568" s="30"/>
      <c r="AK568" s="30"/>
      <c r="AL568" s="30"/>
      <c r="AM568" s="30"/>
      <c r="AN568" s="30"/>
      <c r="AO568" s="5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</row>
    <row r="569" spans="1:61" ht="15.5" x14ac:dyDescent="0.35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58"/>
      <c r="Z569" s="30"/>
      <c r="AA569" s="67"/>
      <c r="AB569" s="30"/>
      <c r="AC569" s="30"/>
      <c r="AD569" s="30"/>
      <c r="AE569" s="67"/>
      <c r="AF569" s="30"/>
      <c r="AG569" s="30"/>
      <c r="AH569" s="30"/>
      <c r="AI569" s="30"/>
      <c r="AJ569" s="30"/>
      <c r="AK569" s="30"/>
      <c r="AL569" s="30"/>
      <c r="AM569" s="30"/>
      <c r="AN569" s="30"/>
      <c r="AO569" s="5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</row>
    <row r="570" spans="1:61" ht="15.5" x14ac:dyDescent="0.35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58"/>
      <c r="Z570" s="30"/>
      <c r="AA570" s="67"/>
      <c r="AB570" s="30"/>
      <c r="AC570" s="30"/>
      <c r="AD570" s="30"/>
      <c r="AE570" s="67"/>
      <c r="AF570" s="30"/>
      <c r="AG570" s="30"/>
      <c r="AH570" s="30"/>
      <c r="AI570" s="30"/>
      <c r="AJ570" s="30"/>
      <c r="AK570" s="30"/>
      <c r="AL570" s="30"/>
      <c r="AM570" s="30"/>
      <c r="AN570" s="30"/>
      <c r="AO570" s="5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</row>
    <row r="571" spans="1:61" ht="15.5" x14ac:dyDescent="0.35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58"/>
      <c r="Z571" s="30"/>
      <c r="AA571" s="67"/>
      <c r="AB571" s="30"/>
      <c r="AC571" s="30"/>
      <c r="AD571" s="30"/>
      <c r="AE571" s="67"/>
      <c r="AF571" s="30"/>
      <c r="AG571" s="30"/>
      <c r="AH571" s="30"/>
      <c r="AI571" s="30"/>
      <c r="AJ571" s="30"/>
      <c r="AK571" s="30"/>
      <c r="AL571" s="30"/>
      <c r="AM571" s="30"/>
      <c r="AN571" s="30"/>
      <c r="AO571" s="5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</row>
    <row r="572" spans="1:61" ht="15.5" x14ac:dyDescent="0.35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58"/>
      <c r="Z572" s="30"/>
      <c r="AA572" s="67"/>
      <c r="AB572" s="30"/>
      <c r="AC572" s="30"/>
      <c r="AD572" s="30"/>
      <c r="AE572" s="67"/>
      <c r="AF572" s="30"/>
      <c r="AG572" s="30"/>
      <c r="AH572" s="30"/>
      <c r="AI572" s="30"/>
      <c r="AJ572" s="30"/>
      <c r="AK572" s="30"/>
      <c r="AL572" s="30"/>
      <c r="AM572" s="30"/>
      <c r="AN572" s="30"/>
      <c r="AO572" s="5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</row>
    <row r="573" spans="1:61" ht="15.5" x14ac:dyDescent="0.35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58"/>
      <c r="Z573" s="30"/>
      <c r="AA573" s="67"/>
      <c r="AB573" s="30"/>
      <c r="AC573" s="30"/>
      <c r="AD573" s="30"/>
      <c r="AE573" s="67"/>
      <c r="AF573" s="30"/>
      <c r="AG573" s="30"/>
      <c r="AH573" s="30"/>
      <c r="AI573" s="30"/>
      <c r="AJ573" s="30"/>
      <c r="AK573" s="30"/>
      <c r="AL573" s="30"/>
      <c r="AM573" s="30"/>
      <c r="AN573" s="30"/>
      <c r="AO573" s="5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</row>
    <row r="574" spans="1:61" ht="15.5" x14ac:dyDescent="0.35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58"/>
      <c r="Z574" s="30"/>
      <c r="AA574" s="67"/>
      <c r="AB574" s="30"/>
      <c r="AC574" s="30"/>
      <c r="AD574" s="30"/>
      <c r="AE574" s="67"/>
      <c r="AF574" s="30"/>
      <c r="AG574" s="30"/>
      <c r="AH574" s="30"/>
      <c r="AI574" s="30"/>
      <c r="AJ574" s="30"/>
      <c r="AK574" s="30"/>
      <c r="AL574" s="30"/>
      <c r="AM574" s="30"/>
      <c r="AN574" s="30"/>
      <c r="AO574" s="5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</row>
    <row r="575" spans="1:61" ht="15.5" x14ac:dyDescent="0.3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58"/>
      <c r="Z575" s="30"/>
      <c r="AA575" s="67"/>
      <c r="AB575" s="30"/>
      <c r="AC575" s="30"/>
      <c r="AD575" s="30"/>
      <c r="AE575" s="67"/>
      <c r="AF575" s="30"/>
      <c r="AG575" s="30"/>
      <c r="AH575" s="30"/>
      <c r="AI575" s="30"/>
      <c r="AJ575" s="30"/>
      <c r="AK575" s="30"/>
      <c r="AL575" s="30"/>
      <c r="AM575" s="30"/>
      <c r="AN575" s="30"/>
      <c r="AO575" s="5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</row>
    <row r="576" spans="1:61" ht="15.5" x14ac:dyDescent="0.35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58"/>
      <c r="Z576" s="30"/>
      <c r="AA576" s="67"/>
      <c r="AB576" s="30"/>
      <c r="AC576" s="30"/>
      <c r="AD576" s="30"/>
      <c r="AE576" s="67"/>
      <c r="AF576" s="30"/>
      <c r="AG576" s="30"/>
      <c r="AH576" s="30"/>
      <c r="AI576" s="30"/>
      <c r="AJ576" s="30"/>
      <c r="AK576" s="30"/>
      <c r="AL576" s="30"/>
      <c r="AM576" s="30"/>
      <c r="AN576" s="30"/>
      <c r="AO576" s="5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</row>
    <row r="577" spans="1:61" ht="15.5" x14ac:dyDescent="0.35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58"/>
      <c r="Z577" s="30"/>
      <c r="AA577" s="67"/>
      <c r="AB577" s="30"/>
      <c r="AC577" s="30"/>
      <c r="AD577" s="30"/>
      <c r="AE577" s="67"/>
      <c r="AF577" s="30"/>
      <c r="AG577" s="30"/>
      <c r="AH577" s="30"/>
      <c r="AI577" s="30"/>
      <c r="AJ577" s="30"/>
      <c r="AK577" s="30"/>
      <c r="AL577" s="30"/>
      <c r="AM577" s="30"/>
      <c r="AN577" s="30"/>
      <c r="AO577" s="5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</row>
    <row r="578" spans="1:61" ht="15.5" x14ac:dyDescent="0.35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58"/>
      <c r="Z578" s="30"/>
      <c r="AA578" s="67"/>
      <c r="AB578" s="30"/>
      <c r="AC578" s="30"/>
      <c r="AD578" s="30"/>
      <c r="AE578" s="67"/>
      <c r="AF578" s="30"/>
      <c r="AG578" s="30"/>
      <c r="AH578" s="30"/>
      <c r="AI578" s="30"/>
      <c r="AJ578" s="30"/>
      <c r="AK578" s="30"/>
      <c r="AL578" s="30"/>
      <c r="AM578" s="30"/>
      <c r="AN578" s="30"/>
      <c r="AO578" s="5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</row>
    <row r="579" spans="1:61" ht="15.5" x14ac:dyDescent="0.35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58"/>
      <c r="Z579" s="30"/>
      <c r="AA579" s="67"/>
      <c r="AB579" s="30"/>
      <c r="AC579" s="30"/>
      <c r="AD579" s="30"/>
      <c r="AE579" s="67"/>
      <c r="AF579" s="30"/>
      <c r="AG579" s="30"/>
      <c r="AH579" s="30"/>
      <c r="AI579" s="30"/>
      <c r="AJ579" s="30"/>
      <c r="AK579" s="30"/>
      <c r="AL579" s="30"/>
      <c r="AM579" s="30"/>
      <c r="AN579" s="30"/>
      <c r="AO579" s="5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</row>
    <row r="580" spans="1:61" ht="15.5" x14ac:dyDescent="0.35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58"/>
      <c r="Z580" s="30"/>
      <c r="AA580" s="67"/>
      <c r="AB580" s="30"/>
      <c r="AC580" s="30"/>
      <c r="AD580" s="30"/>
      <c r="AE580" s="67"/>
      <c r="AF580" s="30"/>
      <c r="AG580" s="30"/>
      <c r="AH580" s="30"/>
      <c r="AI580" s="30"/>
      <c r="AJ580" s="30"/>
      <c r="AK580" s="30"/>
      <c r="AL580" s="30"/>
      <c r="AM580" s="30"/>
      <c r="AN580" s="30"/>
      <c r="AO580" s="5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</row>
    <row r="581" spans="1:61" ht="15.5" x14ac:dyDescent="0.35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58"/>
      <c r="Z581" s="30"/>
      <c r="AA581" s="67"/>
      <c r="AB581" s="30"/>
      <c r="AC581" s="30"/>
      <c r="AD581" s="30"/>
      <c r="AE581" s="67"/>
      <c r="AF581" s="30"/>
      <c r="AG581" s="30"/>
      <c r="AH581" s="30"/>
      <c r="AI581" s="30"/>
      <c r="AJ581" s="30"/>
      <c r="AK581" s="30"/>
      <c r="AL581" s="30"/>
      <c r="AM581" s="30"/>
      <c r="AN581" s="30"/>
      <c r="AO581" s="5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</row>
    <row r="582" spans="1:61" ht="15.5" x14ac:dyDescent="0.35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58"/>
      <c r="Z582" s="30"/>
      <c r="AA582" s="67"/>
      <c r="AB582" s="30"/>
      <c r="AC582" s="30"/>
      <c r="AD582" s="30"/>
      <c r="AE582" s="67"/>
      <c r="AF582" s="30"/>
      <c r="AG582" s="30"/>
      <c r="AH582" s="30"/>
      <c r="AI582" s="30"/>
      <c r="AJ582" s="30"/>
      <c r="AK582" s="30"/>
      <c r="AL582" s="30"/>
      <c r="AM582" s="30"/>
      <c r="AN582" s="30"/>
      <c r="AO582" s="5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</row>
    <row r="583" spans="1:61" ht="15.5" x14ac:dyDescent="0.35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58"/>
      <c r="Z583" s="30"/>
      <c r="AA583" s="67"/>
      <c r="AB583" s="30"/>
      <c r="AC583" s="30"/>
      <c r="AD583" s="30"/>
      <c r="AE583" s="67"/>
      <c r="AF583" s="30"/>
      <c r="AG583" s="30"/>
      <c r="AH583" s="30"/>
      <c r="AI583" s="30"/>
      <c r="AJ583" s="30"/>
      <c r="AK583" s="30"/>
      <c r="AL583" s="30"/>
      <c r="AM583" s="30"/>
      <c r="AN583" s="30"/>
      <c r="AO583" s="5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</row>
    <row r="584" spans="1:61" ht="15.5" x14ac:dyDescent="0.35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58"/>
      <c r="Z584" s="30"/>
      <c r="AA584" s="67"/>
      <c r="AB584" s="30"/>
      <c r="AC584" s="30"/>
      <c r="AD584" s="30"/>
      <c r="AE584" s="67"/>
      <c r="AF584" s="30"/>
      <c r="AG584" s="30"/>
      <c r="AH584" s="30"/>
      <c r="AI584" s="30"/>
      <c r="AJ584" s="30"/>
      <c r="AK584" s="30"/>
      <c r="AL584" s="30"/>
      <c r="AM584" s="30"/>
      <c r="AN584" s="30"/>
      <c r="AO584" s="5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</row>
    <row r="585" spans="1:61" ht="15.5" x14ac:dyDescent="0.3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58"/>
      <c r="Z585" s="30"/>
      <c r="AA585" s="67"/>
      <c r="AB585" s="30"/>
      <c r="AC585" s="30"/>
      <c r="AD585" s="30"/>
      <c r="AE585" s="67"/>
      <c r="AF585" s="30"/>
      <c r="AG585" s="30"/>
      <c r="AH585" s="30"/>
      <c r="AI585" s="30"/>
      <c r="AJ585" s="30"/>
      <c r="AK585" s="30"/>
      <c r="AL585" s="30"/>
      <c r="AM585" s="30"/>
      <c r="AN585" s="30"/>
      <c r="AO585" s="5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</row>
    <row r="586" spans="1:61" ht="15.5" x14ac:dyDescent="0.35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58"/>
      <c r="Z586" s="30"/>
      <c r="AA586" s="67"/>
      <c r="AB586" s="30"/>
      <c r="AC586" s="30"/>
      <c r="AD586" s="30"/>
      <c r="AE586" s="67"/>
      <c r="AF586" s="30"/>
      <c r="AG586" s="30"/>
      <c r="AH586" s="30"/>
      <c r="AI586" s="30"/>
      <c r="AJ586" s="30"/>
      <c r="AK586" s="30"/>
      <c r="AL586" s="30"/>
      <c r="AM586" s="30"/>
      <c r="AN586" s="30"/>
      <c r="AO586" s="5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</row>
    <row r="587" spans="1:61" ht="15.5" x14ac:dyDescent="0.35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58"/>
      <c r="Z587" s="30"/>
      <c r="AA587" s="67"/>
      <c r="AB587" s="30"/>
      <c r="AC587" s="30"/>
      <c r="AD587" s="30"/>
      <c r="AE587" s="67"/>
      <c r="AF587" s="30"/>
      <c r="AG587" s="30"/>
      <c r="AH587" s="30"/>
      <c r="AI587" s="30"/>
      <c r="AJ587" s="30"/>
      <c r="AK587" s="30"/>
      <c r="AL587" s="30"/>
      <c r="AM587" s="30"/>
      <c r="AN587" s="30"/>
      <c r="AO587" s="5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</row>
    <row r="588" spans="1:61" ht="15.5" x14ac:dyDescent="0.35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58"/>
      <c r="Z588" s="30"/>
      <c r="AA588" s="67"/>
      <c r="AB588" s="30"/>
      <c r="AC588" s="30"/>
      <c r="AD588" s="30"/>
      <c r="AE588" s="67"/>
      <c r="AF588" s="30"/>
      <c r="AG588" s="30"/>
      <c r="AH588" s="30"/>
      <c r="AI588" s="30"/>
      <c r="AJ588" s="30"/>
      <c r="AK588" s="30"/>
      <c r="AL588" s="30"/>
      <c r="AM588" s="30"/>
      <c r="AN588" s="30"/>
      <c r="AO588" s="5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</row>
    <row r="589" spans="1:61" ht="15.5" x14ac:dyDescent="0.35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58"/>
      <c r="Z589" s="30"/>
      <c r="AA589" s="67"/>
      <c r="AB589" s="30"/>
      <c r="AC589" s="30"/>
      <c r="AD589" s="30"/>
      <c r="AE589" s="67"/>
      <c r="AF589" s="30"/>
      <c r="AG589" s="30"/>
      <c r="AH589" s="30"/>
      <c r="AI589" s="30"/>
      <c r="AJ589" s="30"/>
      <c r="AK589" s="30"/>
      <c r="AL589" s="30"/>
      <c r="AM589" s="30"/>
      <c r="AN589" s="30"/>
      <c r="AO589" s="5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</row>
    <row r="590" spans="1:61" ht="15.5" x14ac:dyDescent="0.35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58"/>
      <c r="Z590" s="30"/>
      <c r="AA590" s="67"/>
      <c r="AB590" s="30"/>
      <c r="AC590" s="30"/>
      <c r="AD590" s="30"/>
      <c r="AE590" s="67"/>
      <c r="AF590" s="30"/>
      <c r="AG590" s="30"/>
      <c r="AH590" s="30"/>
      <c r="AI590" s="30"/>
      <c r="AJ590" s="30"/>
      <c r="AK590" s="30"/>
      <c r="AL590" s="30"/>
      <c r="AM590" s="30"/>
      <c r="AN590" s="30"/>
      <c r="AO590" s="5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</row>
    <row r="591" spans="1:61" ht="15.5" x14ac:dyDescent="0.35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58"/>
      <c r="Z591" s="30"/>
      <c r="AA591" s="67"/>
      <c r="AB591" s="30"/>
      <c r="AC591" s="30"/>
      <c r="AD591" s="30"/>
      <c r="AE591" s="67"/>
      <c r="AF591" s="30"/>
      <c r="AG591" s="30"/>
      <c r="AH591" s="30"/>
      <c r="AI591" s="30"/>
      <c r="AJ591" s="30"/>
      <c r="AK591" s="30"/>
      <c r="AL591" s="30"/>
      <c r="AM591" s="30"/>
      <c r="AN591" s="30"/>
      <c r="AO591" s="5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</row>
    <row r="592" spans="1:61" ht="15.5" x14ac:dyDescent="0.35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58"/>
      <c r="Z592" s="30"/>
      <c r="AA592" s="67"/>
      <c r="AB592" s="30"/>
      <c r="AC592" s="30"/>
      <c r="AD592" s="30"/>
      <c r="AE592" s="67"/>
      <c r="AF592" s="30"/>
      <c r="AG592" s="30"/>
      <c r="AH592" s="30"/>
      <c r="AI592" s="30"/>
      <c r="AJ592" s="30"/>
      <c r="AK592" s="30"/>
      <c r="AL592" s="30"/>
      <c r="AM592" s="30"/>
      <c r="AN592" s="30"/>
      <c r="AO592" s="5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</row>
    <row r="593" spans="1:61" ht="15.5" x14ac:dyDescent="0.35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58"/>
      <c r="Z593" s="30"/>
      <c r="AA593" s="67"/>
      <c r="AB593" s="30"/>
      <c r="AC593" s="30"/>
      <c r="AD593" s="30"/>
      <c r="AE593" s="67"/>
      <c r="AF593" s="30"/>
      <c r="AG593" s="30"/>
      <c r="AH593" s="30"/>
      <c r="AI593" s="30"/>
      <c r="AJ593" s="30"/>
      <c r="AK593" s="30"/>
      <c r="AL593" s="30"/>
      <c r="AM593" s="30"/>
      <c r="AN593" s="30"/>
      <c r="AO593" s="5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</row>
    <row r="594" spans="1:61" ht="15.5" x14ac:dyDescent="0.35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58"/>
      <c r="Z594" s="30"/>
      <c r="AA594" s="67"/>
      <c r="AB594" s="30"/>
      <c r="AC594" s="30"/>
      <c r="AD594" s="30"/>
      <c r="AE594" s="67"/>
      <c r="AF594" s="30"/>
      <c r="AG594" s="30"/>
      <c r="AH594" s="30"/>
      <c r="AI594" s="30"/>
      <c r="AJ594" s="30"/>
      <c r="AK594" s="30"/>
      <c r="AL594" s="30"/>
      <c r="AM594" s="30"/>
      <c r="AN594" s="30"/>
      <c r="AO594" s="5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</row>
    <row r="595" spans="1:61" ht="15.5" x14ac:dyDescent="0.3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58"/>
      <c r="Z595" s="30"/>
      <c r="AA595" s="67"/>
      <c r="AB595" s="30"/>
      <c r="AC595" s="30"/>
      <c r="AD595" s="30"/>
      <c r="AE595" s="67"/>
      <c r="AF595" s="30"/>
      <c r="AG595" s="30"/>
      <c r="AH595" s="30"/>
      <c r="AI595" s="30"/>
      <c r="AJ595" s="30"/>
      <c r="AK595" s="30"/>
      <c r="AL595" s="30"/>
      <c r="AM595" s="30"/>
      <c r="AN595" s="30"/>
      <c r="AO595" s="5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</row>
    <row r="596" spans="1:61" ht="15.5" x14ac:dyDescent="0.3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58"/>
      <c r="Z596" s="30"/>
      <c r="AA596" s="67"/>
      <c r="AB596" s="30"/>
      <c r="AC596" s="30"/>
      <c r="AD596" s="30"/>
      <c r="AE596" s="67"/>
      <c r="AF596" s="30"/>
      <c r="AG596" s="30"/>
      <c r="AH596" s="30"/>
      <c r="AI596" s="30"/>
      <c r="AJ596" s="30"/>
      <c r="AK596" s="30"/>
      <c r="AL596" s="30"/>
      <c r="AM596" s="30"/>
      <c r="AN596" s="30"/>
      <c r="AO596" s="5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</row>
    <row r="597" spans="1:61" ht="15.5" x14ac:dyDescent="0.35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58"/>
      <c r="Z597" s="30"/>
      <c r="AA597" s="67"/>
      <c r="AB597" s="30"/>
      <c r="AC597" s="30"/>
      <c r="AD597" s="30"/>
      <c r="AE597" s="67"/>
      <c r="AF597" s="30"/>
      <c r="AG597" s="30"/>
      <c r="AH597" s="30"/>
      <c r="AI597" s="30"/>
      <c r="AJ597" s="30"/>
      <c r="AK597" s="30"/>
      <c r="AL597" s="30"/>
      <c r="AM597" s="30"/>
      <c r="AN597" s="30"/>
      <c r="AO597" s="5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</row>
    <row r="598" spans="1:61" ht="15.5" x14ac:dyDescent="0.35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58"/>
      <c r="Z598" s="30"/>
      <c r="AA598" s="67"/>
      <c r="AB598" s="30"/>
      <c r="AC598" s="30"/>
      <c r="AD598" s="30"/>
      <c r="AE598" s="67"/>
      <c r="AF598" s="30"/>
      <c r="AG598" s="30"/>
      <c r="AH598" s="30"/>
      <c r="AI598" s="30"/>
      <c r="AJ598" s="30"/>
      <c r="AK598" s="30"/>
      <c r="AL598" s="30"/>
      <c r="AM598" s="30"/>
      <c r="AN598" s="30"/>
      <c r="AO598" s="5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</row>
    <row r="599" spans="1:61" ht="15.5" x14ac:dyDescent="0.35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58"/>
      <c r="Z599" s="30"/>
      <c r="AA599" s="67"/>
      <c r="AB599" s="30"/>
      <c r="AC599" s="30"/>
      <c r="AD599" s="30"/>
      <c r="AE599" s="67"/>
      <c r="AF599" s="30"/>
      <c r="AG599" s="30"/>
      <c r="AH599" s="30"/>
      <c r="AI599" s="30"/>
      <c r="AJ599" s="30"/>
      <c r="AK599" s="30"/>
      <c r="AL599" s="30"/>
      <c r="AM599" s="30"/>
      <c r="AN599" s="30"/>
      <c r="AO599" s="5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</row>
    <row r="600" spans="1:61" ht="15.5" x14ac:dyDescent="0.35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58"/>
      <c r="Z600" s="30"/>
      <c r="AA600" s="67"/>
      <c r="AB600" s="30"/>
      <c r="AC600" s="30"/>
      <c r="AD600" s="30"/>
      <c r="AE600" s="67"/>
      <c r="AF600" s="30"/>
      <c r="AG600" s="30"/>
      <c r="AH600" s="30"/>
      <c r="AI600" s="30"/>
      <c r="AJ600" s="30"/>
      <c r="AK600" s="30"/>
      <c r="AL600" s="30"/>
      <c r="AM600" s="30"/>
      <c r="AN600" s="30"/>
      <c r="AO600" s="5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</row>
    <row r="601" spans="1:61" ht="15.5" x14ac:dyDescent="0.35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58"/>
      <c r="Z601" s="30"/>
      <c r="AA601" s="67"/>
      <c r="AB601" s="30"/>
      <c r="AC601" s="30"/>
      <c r="AD601" s="30"/>
      <c r="AE601" s="67"/>
      <c r="AF601" s="30"/>
      <c r="AG601" s="30"/>
      <c r="AH601" s="30"/>
      <c r="AI601" s="30"/>
      <c r="AJ601" s="30"/>
      <c r="AK601" s="30"/>
      <c r="AL601" s="30"/>
      <c r="AM601" s="30"/>
      <c r="AN601" s="30"/>
      <c r="AO601" s="5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</row>
    <row r="602" spans="1:61" ht="15.5" x14ac:dyDescent="0.35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58"/>
      <c r="Z602" s="30"/>
      <c r="AA602" s="67"/>
      <c r="AB602" s="30"/>
      <c r="AC602" s="30"/>
      <c r="AD602" s="30"/>
      <c r="AE602" s="67"/>
      <c r="AF602" s="30"/>
      <c r="AG602" s="30"/>
      <c r="AH602" s="30"/>
      <c r="AI602" s="30"/>
      <c r="AJ602" s="30"/>
      <c r="AK602" s="30"/>
      <c r="AL602" s="30"/>
      <c r="AM602" s="30"/>
      <c r="AN602" s="30"/>
      <c r="AO602" s="5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</row>
    <row r="603" spans="1:61" ht="15.5" x14ac:dyDescent="0.35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58"/>
      <c r="Z603" s="30"/>
      <c r="AA603" s="67"/>
      <c r="AB603" s="30"/>
      <c r="AC603" s="30"/>
      <c r="AD603" s="30"/>
      <c r="AE603" s="67"/>
      <c r="AF603" s="30"/>
      <c r="AG603" s="30"/>
      <c r="AH603" s="30"/>
      <c r="AI603" s="30"/>
      <c r="AJ603" s="30"/>
      <c r="AK603" s="30"/>
      <c r="AL603" s="30"/>
      <c r="AM603" s="30"/>
      <c r="AN603" s="30"/>
      <c r="AO603" s="5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</row>
    <row r="604" spans="1:61" ht="15.5" x14ac:dyDescent="0.35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58"/>
      <c r="Z604" s="30"/>
      <c r="AA604" s="67"/>
      <c r="AB604" s="30"/>
      <c r="AC604" s="30"/>
      <c r="AD604" s="30"/>
      <c r="AE604" s="67"/>
      <c r="AF604" s="30"/>
      <c r="AG604" s="30"/>
      <c r="AH604" s="30"/>
      <c r="AI604" s="30"/>
      <c r="AJ604" s="30"/>
      <c r="AK604" s="30"/>
      <c r="AL604" s="30"/>
      <c r="AM604" s="30"/>
      <c r="AN604" s="30"/>
      <c r="AO604" s="5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</row>
    <row r="605" spans="1:61" ht="15.5" x14ac:dyDescent="0.3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58"/>
      <c r="Z605" s="30"/>
      <c r="AA605" s="67"/>
      <c r="AB605" s="30"/>
      <c r="AC605" s="30"/>
      <c r="AD605" s="30"/>
      <c r="AE605" s="67"/>
      <c r="AF605" s="30"/>
      <c r="AG605" s="30"/>
      <c r="AH605" s="30"/>
      <c r="AI605" s="30"/>
      <c r="AJ605" s="30"/>
      <c r="AK605" s="30"/>
      <c r="AL605" s="30"/>
      <c r="AM605" s="30"/>
      <c r="AN605" s="30"/>
      <c r="AO605" s="5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</row>
    <row r="606" spans="1:61" ht="15.5" x14ac:dyDescent="0.35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58"/>
      <c r="Z606" s="30"/>
      <c r="AA606" s="67"/>
      <c r="AB606" s="30"/>
      <c r="AC606" s="30"/>
      <c r="AD606" s="30"/>
      <c r="AE606" s="67"/>
      <c r="AF606" s="30"/>
      <c r="AG606" s="30"/>
      <c r="AH606" s="30"/>
      <c r="AI606" s="30"/>
      <c r="AJ606" s="30"/>
      <c r="AK606" s="30"/>
      <c r="AL606" s="30"/>
      <c r="AM606" s="30"/>
      <c r="AN606" s="30"/>
      <c r="AO606" s="5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</row>
    <row r="607" spans="1:61" ht="15.5" x14ac:dyDescent="0.35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58"/>
      <c r="Z607" s="30"/>
      <c r="AA607" s="67"/>
      <c r="AB607" s="30"/>
      <c r="AC607" s="30"/>
      <c r="AD607" s="30"/>
      <c r="AE607" s="67"/>
      <c r="AF607" s="30"/>
      <c r="AG607" s="30"/>
      <c r="AH607" s="30"/>
      <c r="AI607" s="30"/>
      <c r="AJ607" s="30"/>
      <c r="AK607" s="30"/>
      <c r="AL607" s="30"/>
      <c r="AM607" s="30"/>
      <c r="AN607" s="30"/>
      <c r="AO607" s="5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</row>
    <row r="608" spans="1:61" ht="15.5" x14ac:dyDescent="0.35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58"/>
      <c r="Z608" s="30"/>
      <c r="AA608" s="67"/>
      <c r="AB608" s="30"/>
      <c r="AC608" s="30"/>
      <c r="AD608" s="30"/>
      <c r="AE608" s="67"/>
      <c r="AF608" s="30"/>
      <c r="AG608" s="30"/>
      <c r="AH608" s="30"/>
      <c r="AI608" s="30"/>
      <c r="AJ608" s="30"/>
      <c r="AK608" s="30"/>
      <c r="AL608" s="30"/>
      <c r="AM608" s="30"/>
      <c r="AN608" s="30"/>
      <c r="AO608" s="5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</row>
    <row r="609" spans="1:61" ht="15.5" x14ac:dyDescent="0.35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58"/>
      <c r="Z609" s="30"/>
      <c r="AA609" s="67"/>
      <c r="AB609" s="30"/>
      <c r="AC609" s="30"/>
      <c r="AD609" s="30"/>
      <c r="AE609" s="67"/>
      <c r="AF609" s="30"/>
      <c r="AG609" s="30"/>
      <c r="AH609" s="30"/>
      <c r="AI609" s="30"/>
      <c r="AJ609" s="30"/>
      <c r="AK609" s="30"/>
      <c r="AL609" s="30"/>
      <c r="AM609" s="30"/>
      <c r="AN609" s="30"/>
      <c r="AO609" s="5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</row>
    <row r="610" spans="1:61" ht="15.5" x14ac:dyDescent="0.3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58"/>
      <c r="Z610" s="30"/>
      <c r="AA610" s="67"/>
      <c r="AB610" s="30"/>
      <c r="AC610" s="30"/>
      <c r="AD610" s="30"/>
      <c r="AE610" s="67"/>
      <c r="AF610" s="30"/>
      <c r="AG610" s="30"/>
      <c r="AH610" s="30"/>
      <c r="AI610" s="30"/>
      <c r="AJ610" s="30"/>
      <c r="AK610" s="30"/>
      <c r="AL610" s="30"/>
      <c r="AM610" s="30"/>
      <c r="AN610" s="30"/>
      <c r="AO610" s="5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</row>
    <row r="611" spans="1:61" ht="15.5" x14ac:dyDescent="0.35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58"/>
      <c r="Z611" s="30"/>
      <c r="AA611" s="67"/>
      <c r="AB611" s="30"/>
      <c r="AC611" s="30"/>
      <c r="AD611" s="30"/>
      <c r="AE611" s="67"/>
      <c r="AF611" s="30"/>
      <c r="AG611" s="30"/>
      <c r="AH611" s="30"/>
      <c r="AI611" s="30"/>
      <c r="AJ611" s="30"/>
      <c r="AK611" s="30"/>
      <c r="AL611" s="30"/>
      <c r="AM611" s="30"/>
      <c r="AN611" s="30"/>
      <c r="AO611" s="5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</row>
    <row r="612" spans="1:61" ht="15.5" x14ac:dyDescent="0.35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58"/>
      <c r="Z612" s="30"/>
      <c r="AA612" s="67"/>
      <c r="AB612" s="30"/>
      <c r="AC612" s="30"/>
      <c r="AD612" s="30"/>
      <c r="AE612" s="67"/>
      <c r="AF612" s="30"/>
      <c r="AG612" s="30"/>
      <c r="AH612" s="30"/>
      <c r="AI612" s="30"/>
      <c r="AJ612" s="30"/>
      <c r="AK612" s="30"/>
      <c r="AL612" s="30"/>
      <c r="AM612" s="30"/>
      <c r="AN612" s="30"/>
      <c r="AO612" s="5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</row>
    <row r="613" spans="1:61" ht="15.5" x14ac:dyDescent="0.35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58"/>
      <c r="Z613" s="30"/>
      <c r="AA613" s="67"/>
      <c r="AB613" s="30"/>
      <c r="AC613" s="30"/>
      <c r="AD613" s="30"/>
      <c r="AE613" s="67"/>
      <c r="AF613" s="30"/>
      <c r="AG613" s="30"/>
      <c r="AH613" s="30"/>
      <c r="AI613" s="30"/>
      <c r="AJ613" s="30"/>
      <c r="AK613" s="30"/>
      <c r="AL613" s="30"/>
      <c r="AM613" s="30"/>
      <c r="AN613" s="30"/>
      <c r="AO613" s="5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</row>
    <row r="614" spans="1:61" ht="15.5" x14ac:dyDescent="0.35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58"/>
      <c r="Z614" s="30"/>
      <c r="AA614" s="67"/>
      <c r="AB614" s="30"/>
      <c r="AC614" s="30"/>
      <c r="AD614" s="30"/>
      <c r="AE614" s="67"/>
      <c r="AF614" s="30"/>
      <c r="AG614" s="30"/>
      <c r="AH614" s="30"/>
      <c r="AI614" s="30"/>
      <c r="AJ614" s="30"/>
      <c r="AK614" s="30"/>
      <c r="AL614" s="30"/>
      <c r="AM614" s="30"/>
      <c r="AN614" s="30"/>
      <c r="AO614" s="5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</row>
    <row r="615" spans="1:61" ht="15.5" x14ac:dyDescent="0.3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58"/>
      <c r="Z615" s="30"/>
      <c r="AA615" s="67"/>
      <c r="AB615" s="30"/>
      <c r="AC615" s="30"/>
      <c r="AD615" s="30"/>
      <c r="AE615" s="67"/>
      <c r="AF615" s="30"/>
      <c r="AG615" s="30"/>
      <c r="AH615" s="30"/>
      <c r="AI615" s="30"/>
      <c r="AJ615" s="30"/>
      <c r="AK615" s="30"/>
      <c r="AL615" s="30"/>
      <c r="AM615" s="30"/>
      <c r="AN615" s="30"/>
      <c r="AO615" s="5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</row>
    <row r="616" spans="1:61" ht="15.5" x14ac:dyDescent="0.35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58"/>
      <c r="Z616" s="30"/>
      <c r="AA616" s="67"/>
      <c r="AB616" s="30"/>
      <c r="AC616" s="30"/>
      <c r="AD616" s="30"/>
      <c r="AE616" s="67"/>
      <c r="AF616" s="30"/>
      <c r="AG616" s="30"/>
      <c r="AH616" s="30"/>
      <c r="AI616" s="30"/>
      <c r="AJ616" s="30"/>
      <c r="AK616" s="30"/>
      <c r="AL616" s="30"/>
      <c r="AM616" s="30"/>
      <c r="AN616" s="30"/>
      <c r="AO616" s="5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</row>
    <row r="617" spans="1:61" ht="15.5" x14ac:dyDescent="0.35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58"/>
      <c r="Z617" s="30"/>
      <c r="AA617" s="67"/>
      <c r="AB617" s="30"/>
      <c r="AC617" s="30"/>
      <c r="AD617" s="30"/>
      <c r="AE617" s="67"/>
      <c r="AF617" s="30"/>
      <c r="AG617" s="30"/>
      <c r="AH617" s="30"/>
      <c r="AI617" s="30"/>
      <c r="AJ617" s="30"/>
      <c r="AK617" s="30"/>
      <c r="AL617" s="30"/>
      <c r="AM617" s="30"/>
      <c r="AN617" s="30"/>
      <c r="AO617" s="5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</row>
    <row r="618" spans="1:61" ht="15.5" x14ac:dyDescent="0.35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58"/>
      <c r="Z618" s="30"/>
      <c r="AA618" s="67"/>
      <c r="AB618" s="30"/>
      <c r="AC618" s="30"/>
      <c r="AD618" s="30"/>
      <c r="AE618" s="67"/>
      <c r="AF618" s="30"/>
      <c r="AG618" s="30"/>
      <c r="AH618" s="30"/>
      <c r="AI618" s="30"/>
      <c r="AJ618" s="30"/>
      <c r="AK618" s="30"/>
      <c r="AL618" s="30"/>
      <c r="AM618" s="30"/>
      <c r="AN618" s="30"/>
      <c r="AO618" s="5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</row>
    <row r="619" spans="1:61" ht="15.5" x14ac:dyDescent="0.35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58"/>
      <c r="Z619" s="30"/>
      <c r="AA619" s="67"/>
      <c r="AB619" s="30"/>
      <c r="AC619" s="30"/>
      <c r="AD619" s="30"/>
      <c r="AE619" s="67"/>
      <c r="AF619" s="30"/>
      <c r="AG619" s="30"/>
      <c r="AH619" s="30"/>
      <c r="AI619" s="30"/>
      <c r="AJ619" s="30"/>
      <c r="AK619" s="30"/>
      <c r="AL619" s="30"/>
      <c r="AM619" s="30"/>
      <c r="AN619" s="30"/>
      <c r="AO619" s="5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</row>
    <row r="620" spans="1:61" ht="15.5" x14ac:dyDescent="0.35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58"/>
      <c r="Z620" s="30"/>
      <c r="AA620" s="67"/>
      <c r="AB620" s="30"/>
      <c r="AC620" s="30"/>
      <c r="AD620" s="30"/>
      <c r="AE620" s="67"/>
      <c r="AF620" s="30"/>
      <c r="AG620" s="30"/>
      <c r="AH620" s="30"/>
      <c r="AI620" s="30"/>
      <c r="AJ620" s="30"/>
      <c r="AK620" s="30"/>
      <c r="AL620" s="30"/>
      <c r="AM620" s="30"/>
      <c r="AN620" s="30"/>
      <c r="AO620" s="5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</row>
    <row r="621" spans="1:61" ht="15.5" x14ac:dyDescent="0.35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58"/>
      <c r="Z621" s="30"/>
      <c r="AA621" s="67"/>
      <c r="AB621" s="30"/>
      <c r="AC621" s="30"/>
      <c r="AD621" s="30"/>
      <c r="AE621" s="67"/>
      <c r="AF621" s="30"/>
      <c r="AG621" s="30"/>
      <c r="AH621" s="30"/>
      <c r="AI621" s="30"/>
      <c r="AJ621" s="30"/>
      <c r="AK621" s="30"/>
      <c r="AL621" s="30"/>
      <c r="AM621" s="30"/>
      <c r="AN621" s="30"/>
      <c r="AO621" s="5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</row>
    <row r="622" spans="1:61" ht="15.5" x14ac:dyDescent="0.35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58"/>
      <c r="Z622" s="30"/>
      <c r="AA622" s="67"/>
      <c r="AB622" s="30"/>
      <c r="AC622" s="30"/>
      <c r="AD622" s="30"/>
      <c r="AE622" s="67"/>
      <c r="AF622" s="30"/>
      <c r="AG622" s="30"/>
      <c r="AH622" s="30"/>
      <c r="AI622" s="30"/>
      <c r="AJ622" s="30"/>
      <c r="AK622" s="30"/>
      <c r="AL622" s="30"/>
      <c r="AM622" s="30"/>
      <c r="AN622" s="30"/>
      <c r="AO622" s="5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</row>
    <row r="623" spans="1:61" ht="15.5" x14ac:dyDescent="0.35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58"/>
      <c r="Z623" s="30"/>
      <c r="AA623" s="67"/>
      <c r="AB623" s="30"/>
      <c r="AC623" s="30"/>
      <c r="AD623" s="30"/>
      <c r="AE623" s="67"/>
      <c r="AF623" s="30"/>
      <c r="AG623" s="30"/>
      <c r="AH623" s="30"/>
      <c r="AI623" s="30"/>
      <c r="AJ623" s="30"/>
      <c r="AK623" s="30"/>
      <c r="AL623" s="30"/>
      <c r="AM623" s="30"/>
      <c r="AN623" s="30"/>
      <c r="AO623" s="5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</row>
    <row r="624" spans="1:61" ht="15.5" x14ac:dyDescent="0.3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58"/>
      <c r="Z624" s="30"/>
      <c r="AA624" s="67"/>
      <c r="AB624" s="30"/>
      <c r="AC624" s="30"/>
      <c r="AD624" s="30"/>
      <c r="AE624" s="67"/>
      <c r="AF624" s="30"/>
      <c r="AG624" s="30"/>
      <c r="AH624" s="30"/>
      <c r="AI624" s="30"/>
      <c r="AJ624" s="30"/>
      <c r="AK624" s="30"/>
      <c r="AL624" s="30"/>
      <c r="AM624" s="30"/>
      <c r="AN624" s="30"/>
      <c r="AO624" s="5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</row>
    <row r="625" spans="1:61" ht="15.5" x14ac:dyDescent="0.3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58"/>
      <c r="Z625" s="30"/>
      <c r="AA625" s="67"/>
      <c r="AB625" s="30"/>
      <c r="AC625" s="30"/>
      <c r="AD625" s="30"/>
      <c r="AE625" s="67"/>
      <c r="AF625" s="30"/>
      <c r="AG625" s="30"/>
      <c r="AH625" s="30"/>
      <c r="AI625" s="30"/>
      <c r="AJ625" s="30"/>
      <c r="AK625" s="30"/>
      <c r="AL625" s="30"/>
      <c r="AM625" s="30"/>
      <c r="AN625" s="30"/>
      <c r="AO625" s="5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</row>
    <row r="626" spans="1:61" ht="15.5" x14ac:dyDescent="0.35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58"/>
      <c r="Z626" s="30"/>
      <c r="AA626" s="67"/>
      <c r="AB626" s="30"/>
      <c r="AC626" s="30"/>
      <c r="AD626" s="30"/>
      <c r="AE626" s="67"/>
      <c r="AF626" s="30"/>
      <c r="AG626" s="30"/>
      <c r="AH626" s="30"/>
      <c r="AI626" s="30"/>
      <c r="AJ626" s="30"/>
      <c r="AK626" s="30"/>
      <c r="AL626" s="30"/>
      <c r="AM626" s="30"/>
      <c r="AN626" s="30"/>
      <c r="AO626" s="5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</row>
    <row r="627" spans="1:61" ht="15.5" x14ac:dyDescent="0.35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58"/>
      <c r="Z627" s="30"/>
      <c r="AA627" s="67"/>
      <c r="AB627" s="30"/>
      <c r="AC627" s="30"/>
      <c r="AD627" s="30"/>
      <c r="AE627" s="67"/>
      <c r="AF627" s="30"/>
      <c r="AG627" s="30"/>
      <c r="AH627" s="30"/>
      <c r="AI627" s="30"/>
      <c r="AJ627" s="30"/>
      <c r="AK627" s="30"/>
      <c r="AL627" s="30"/>
      <c r="AM627" s="30"/>
      <c r="AN627" s="30"/>
      <c r="AO627" s="5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</row>
    <row r="628" spans="1:61" ht="15.5" x14ac:dyDescent="0.35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58"/>
      <c r="Z628" s="30"/>
      <c r="AA628" s="67"/>
      <c r="AB628" s="30"/>
      <c r="AC628" s="30"/>
      <c r="AD628" s="30"/>
      <c r="AE628" s="67"/>
      <c r="AF628" s="30"/>
      <c r="AG628" s="30"/>
      <c r="AH628" s="30"/>
      <c r="AI628" s="30"/>
      <c r="AJ628" s="30"/>
      <c r="AK628" s="30"/>
      <c r="AL628" s="30"/>
      <c r="AM628" s="30"/>
      <c r="AN628" s="30"/>
      <c r="AO628" s="5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</row>
    <row r="629" spans="1:61" ht="15.5" x14ac:dyDescent="0.35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58"/>
      <c r="Z629" s="30"/>
      <c r="AA629" s="67"/>
      <c r="AB629" s="30"/>
      <c r="AC629" s="30"/>
      <c r="AD629" s="30"/>
      <c r="AE629" s="67"/>
      <c r="AF629" s="30"/>
      <c r="AG629" s="30"/>
      <c r="AH629" s="30"/>
      <c r="AI629" s="30"/>
      <c r="AJ629" s="30"/>
      <c r="AK629" s="30"/>
      <c r="AL629" s="30"/>
      <c r="AM629" s="30"/>
      <c r="AN629" s="30"/>
      <c r="AO629" s="5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</row>
    <row r="630" spans="1:61" ht="15.5" x14ac:dyDescent="0.35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58"/>
      <c r="Z630" s="30"/>
      <c r="AA630" s="67"/>
      <c r="AB630" s="30"/>
      <c r="AC630" s="30"/>
      <c r="AD630" s="30"/>
      <c r="AE630" s="67"/>
      <c r="AF630" s="30"/>
      <c r="AG630" s="30"/>
      <c r="AH630" s="30"/>
      <c r="AI630" s="30"/>
      <c r="AJ630" s="30"/>
      <c r="AK630" s="30"/>
      <c r="AL630" s="30"/>
      <c r="AM630" s="30"/>
      <c r="AN630" s="30"/>
      <c r="AO630" s="5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</row>
    <row r="631" spans="1:61" ht="15.5" x14ac:dyDescent="0.35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58"/>
      <c r="Z631" s="30"/>
      <c r="AA631" s="67"/>
      <c r="AB631" s="30"/>
      <c r="AC631" s="30"/>
      <c r="AD631" s="30"/>
      <c r="AE631" s="67"/>
      <c r="AF631" s="30"/>
      <c r="AG631" s="30"/>
      <c r="AH631" s="30"/>
      <c r="AI631" s="30"/>
      <c r="AJ631" s="30"/>
      <c r="AK631" s="30"/>
      <c r="AL631" s="30"/>
      <c r="AM631" s="30"/>
      <c r="AN631" s="30"/>
      <c r="AO631" s="5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</row>
    <row r="632" spans="1:61" ht="15.5" x14ac:dyDescent="0.35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58"/>
      <c r="Z632" s="30"/>
      <c r="AA632" s="67"/>
      <c r="AB632" s="30"/>
      <c r="AC632" s="30"/>
      <c r="AD632" s="30"/>
      <c r="AE632" s="67"/>
      <c r="AF632" s="30"/>
      <c r="AG632" s="30"/>
      <c r="AH632" s="30"/>
      <c r="AI632" s="30"/>
      <c r="AJ632" s="30"/>
      <c r="AK632" s="30"/>
      <c r="AL632" s="30"/>
      <c r="AM632" s="30"/>
      <c r="AN632" s="30"/>
      <c r="AO632" s="5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</row>
    <row r="633" spans="1:61" ht="15.5" x14ac:dyDescent="0.35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58"/>
      <c r="Z633" s="30"/>
      <c r="AA633" s="67"/>
      <c r="AB633" s="30"/>
      <c r="AC633" s="30"/>
      <c r="AD633" s="30"/>
      <c r="AE633" s="67"/>
      <c r="AF633" s="30"/>
      <c r="AG633" s="30"/>
      <c r="AH633" s="30"/>
      <c r="AI633" s="30"/>
      <c r="AJ633" s="30"/>
      <c r="AK633" s="30"/>
      <c r="AL633" s="30"/>
      <c r="AM633" s="30"/>
      <c r="AN633" s="30"/>
      <c r="AO633" s="5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</row>
    <row r="634" spans="1:61" ht="15.5" x14ac:dyDescent="0.35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58"/>
      <c r="Z634" s="30"/>
      <c r="AA634" s="67"/>
      <c r="AB634" s="30"/>
      <c r="AC634" s="30"/>
      <c r="AD634" s="30"/>
      <c r="AE634" s="67"/>
      <c r="AF634" s="30"/>
      <c r="AG634" s="30"/>
      <c r="AH634" s="30"/>
      <c r="AI634" s="30"/>
      <c r="AJ634" s="30"/>
      <c r="AK634" s="30"/>
      <c r="AL634" s="30"/>
      <c r="AM634" s="30"/>
      <c r="AN634" s="30"/>
      <c r="AO634" s="5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</row>
    <row r="635" spans="1:61" ht="15.5" x14ac:dyDescent="0.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58"/>
      <c r="Z635" s="30"/>
      <c r="AA635" s="67"/>
      <c r="AB635" s="30"/>
      <c r="AC635" s="30"/>
      <c r="AD635" s="30"/>
      <c r="AE635" s="67"/>
      <c r="AF635" s="30"/>
      <c r="AG635" s="30"/>
      <c r="AH635" s="30"/>
      <c r="AI635" s="30"/>
      <c r="AJ635" s="30"/>
      <c r="AK635" s="30"/>
      <c r="AL635" s="30"/>
      <c r="AM635" s="30"/>
      <c r="AN635" s="30"/>
      <c r="AO635" s="5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</row>
    <row r="636" spans="1:61" ht="15.5" x14ac:dyDescent="0.35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58"/>
      <c r="Z636" s="30"/>
      <c r="AA636" s="67"/>
      <c r="AB636" s="30"/>
      <c r="AC636" s="30"/>
      <c r="AD636" s="30"/>
      <c r="AE636" s="67"/>
      <c r="AF636" s="30"/>
      <c r="AG636" s="30"/>
      <c r="AH636" s="30"/>
      <c r="AI636" s="30"/>
      <c r="AJ636" s="30"/>
      <c r="AK636" s="30"/>
      <c r="AL636" s="30"/>
      <c r="AM636" s="30"/>
      <c r="AN636" s="30"/>
      <c r="AO636" s="5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</row>
    <row r="637" spans="1:61" ht="15.5" x14ac:dyDescent="0.35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58"/>
      <c r="Z637" s="30"/>
      <c r="AA637" s="67"/>
      <c r="AB637" s="30"/>
      <c r="AC637" s="30"/>
      <c r="AD637" s="30"/>
      <c r="AE637" s="67"/>
      <c r="AF637" s="30"/>
      <c r="AG637" s="30"/>
      <c r="AH637" s="30"/>
      <c r="AI637" s="30"/>
      <c r="AJ637" s="30"/>
      <c r="AK637" s="30"/>
      <c r="AL637" s="30"/>
      <c r="AM637" s="30"/>
      <c r="AN637" s="30"/>
      <c r="AO637" s="5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</row>
    <row r="638" spans="1:61" ht="15.5" x14ac:dyDescent="0.35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58"/>
      <c r="Z638" s="30"/>
      <c r="AA638" s="67"/>
      <c r="AB638" s="30"/>
      <c r="AC638" s="30"/>
      <c r="AD638" s="30"/>
      <c r="AE638" s="67"/>
      <c r="AF638" s="30"/>
      <c r="AG638" s="30"/>
      <c r="AH638" s="30"/>
      <c r="AI638" s="30"/>
      <c r="AJ638" s="30"/>
      <c r="AK638" s="30"/>
      <c r="AL638" s="30"/>
      <c r="AM638" s="30"/>
      <c r="AN638" s="30"/>
      <c r="AO638" s="5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</row>
    <row r="639" spans="1:61" ht="15.5" x14ac:dyDescent="0.35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58"/>
      <c r="Z639" s="30"/>
      <c r="AA639" s="67"/>
      <c r="AB639" s="30"/>
      <c r="AC639" s="30"/>
      <c r="AD639" s="30"/>
      <c r="AE639" s="67"/>
      <c r="AF639" s="30"/>
      <c r="AG639" s="30"/>
      <c r="AH639" s="30"/>
      <c r="AI639" s="30"/>
      <c r="AJ639" s="30"/>
      <c r="AK639" s="30"/>
      <c r="AL639" s="30"/>
      <c r="AM639" s="30"/>
      <c r="AN639" s="30"/>
      <c r="AO639" s="5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</row>
    <row r="640" spans="1:61" ht="15.5" x14ac:dyDescent="0.35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58"/>
      <c r="Z640" s="30"/>
      <c r="AA640" s="67"/>
      <c r="AB640" s="30"/>
      <c r="AC640" s="30"/>
      <c r="AD640" s="30"/>
      <c r="AE640" s="67"/>
      <c r="AF640" s="30"/>
      <c r="AG640" s="30"/>
      <c r="AH640" s="30"/>
      <c r="AI640" s="30"/>
      <c r="AJ640" s="30"/>
      <c r="AK640" s="30"/>
      <c r="AL640" s="30"/>
      <c r="AM640" s="30"/>
      <c r="AN640" s="30"/>
      <c r="AO640" s="5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</row>
    <row r="641" spans="1:61" ht="15.5" x14ac:dyDescent="0.35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58"/>
      <c r="Z641" s="30"/>
      <c r="AA641" s="67"/>
      <c r="AB641" s="30"/>
      <c r="AC641" s="30"/>
      <c r="AD641" s="30"/>
      <c r="AE641" s="67"/>
      <c r="AF641" s="30"/>
      <c r="AG641" s="30"/>
      <c r="AH641" s="30"/>
      <c r="AI641" s="30"/>
      <c r="AJ641" s="30"/>
      <c r="AK641" s="30"/>
      <c r="AL641" s="30"/>
      <c r="AM641" s="30"/>
      <c r="AN641" s="30"/>
      <c r="AO641" s="5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</row>
    <row r="642" spans="1:61" ht="15.5" x14ac:dyDescent="0.35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58"/>
      <c r="Z642" s="30"/>
      <c r="AA642" s="67"/>
      <c r="AB642" s="30"/>
      <c r="AC642" s="30"/>
      <c r="AD642" s="30"/>
      <c r="AE642" s="67"/>
      <c r="AF642" s="30"/>
      <c r="AG642" s="30"/>
      <c r="AH642" s="30"/>
      <c r="AI642" s="30"/>
      <c r="AJ642" s="30"/>
      <c r="AK642" s="30"/>
      <c r="AL642" s="30"/>
      <c r="AM642" s="30"/>
      <c r="AN642" s="30"/>
      <c r="AO642" s="5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</row>
    <row r="643" spans="1:61" ht="15.5" x14ac:dyDescent="0.35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58"/>
      <c r="Z643" s="30"/>
      <c r="AA643" s="67"/>
      <c r="AB643" s="30"/>
      <c r="AC643" s="30"/>
      <c r="AD643" s="30"/>
      <c r="AE643" s="67"/>
      <c r="AF643" s="30"/>
      <c r="AG643" s="30"/>
      <c r="AH643" s="30"/>
      <c r="AI643" s="30"/>
      <c r="AJ643" s="30"/>
      <c r="AK643" s="30"/>
      <c r="AL643" s="30"/>
      <c r="AM643" s="30"/>
      <c r="AN643" s="30"/>
      <c r="AO643" s="5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</row>
    <row r="644" spans="1:61" ht="15.5" x14ac:dyDescent="0.35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58"/>
      <c r="Z644" s="30"/>
      <c r="AA644" s="67"/>
      <c r="AB644" s="30"/>
      <c r="AC644" s="30"/>
      <c r="AD644" s="30"/>
      <c r="AE644" s="67"/>
      <c r="AF644" s="30"/>
      <c r="AG644" s="30"/>
      <c r="AH644" s="30"/>
      <c r="AI644" s="30"/>
      <c r="AJ644" s="30"/>
      <c r="AK644" s="30"/>
      <c r="AL644" s="30"/>
      <c r="AM644" s="30"/>
      <c r="AN644" s="30"/>
      <c r="AO644" s="5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</row>
    <row r="645" spans="1:61" ht="15.5" x14ac:dyDescent="0.3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58"/>
      <c r="Z645" s="30"/>
      <c r="AA645" s="67"/>
      <c r="AB645" s="30"/>
      <c r="AC645" s="30"/>
      <c r="AD645" s="30"/>
      <c r="AE645" s="67"/>
      <c r="AF645" s="30"/>
      <c r="AG645" s="30"/>
      <c r="AH645" s="30"/>
      <c r="AI645" s="30"/>
      <c r="AJ645" s="30"/>
      <c r="AK645" s="30"/>
      <c r="AL645" s="30"/>
      <c r="AM645" s="30"/>
      <c r="AN645" s="30"/>
      <c r="AO645" s="5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</row>
    <row r="646" spans="1:61" ht="15.5" x14ac:dyDescent="0.35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58"/>
      <c r="Z646" s="30"/>
      <c r="AA646" s="67"/>
      <c r="AB646" s="30"/>
      <c r="AC646" s="30"/>
      <c r="AD646" s="30"/>
      <c r="AE646" s="67"/>
      <c r="AF646" s="30"/>
      <c r="AG646" s="30"/>
      <c r="AH646" s="30"/>
      <c r="AI646" s="30"/>
      <c r="AJ646" s="30"/>
      <c r="AK646" s="30"/>
      <c r="AL646" s="30"/>
      <c r="AM646" s="30"/>
      <c r="AN646" s="30"/>
      <c r="AO646" s="5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</row>
    <row r="647" spans="1:61" ht="15.5" x14ac:dyDescent="0.35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58"/>
      <c r="Z647" s="30"/>
      <c r="AA647" s="67"/>
      <c r="AB647" s="30"/>
      <c r="AC647" s="30"/>
      <c r="AD647" s="30"/>
      <c r="AE647" s="67"/>
      <c r="AF647" s="30"/>
      <c r="AG647" s="30"/>
      <c r="AH647" s="30"/>
      <c r="AI647" s="30"/>
      <c r="AJ647" s="30"/>
      <c r="AK647" s="30"/>
      <c r="AL647" s="30"/>
      <c r="AM647" s="30"/>
      <c r="AN647" s="30"/>
      <c r="AO647" s="5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</row>
    <row r="648" spans="1:61" ht="15.5" x14ac:dyDescent="0.35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58"/>
      <c r="Z648" s="30"/>
      <c r="AA648" s="67"/>
      <c r="AB648" s="30"/>
      <c r="AC648" s="30"/>
      <c r="AD648" s="30"/>
      <c r="AE648" s="67"/>
      <c r="AF648" s="30"/>
      <c r="AG648" s="30"/>
      <c r="AH648" s="30"/>
      <c r="AI648" s="30"/>
      <c r="AJ648" s="30"/>
      <c r="AK648" s="30"/>
      <c r="AL648" s="30"/>
      <c r="AM648" s="30"/>
      <c r="AN648" s="30"/>
      <c r="AO648" s="5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</row>
    <row r="649" spans="1:61" ht="15.5" x14ac:dyDescent="0.35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58"/>
      <c r="Z649" s="30"/>
      <c r="AA649" s="67"/>
      <c r="AB649" s="30"/>
      <c r="AC649" s="30"/>
      <c r="AD649" s="30"/>
      <c r="AE649" s="67"/>
      <c r="AF649" s="30"/>
      <c r="AG649" s="30"/>
      <c r="AH649" s="30"/>
      <c r="AI649" s="30"/>
      <c r="AJ649" s="30"/>
      <c r="AK649" s="30"/>
      <c r="AL649" s="30"/>
      <c r="AM649" s="30"/>
      <c r="AN649" s="30"/>
      <c r="AO649" s="5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</row>
    <row r="650" spans="1:61" ht="15.5" x14ac:dyDescent="0.35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58"/>
      <c r="Z650" s="30"/>
      <c r="AA650" s="67"/>
      <c r="AB650" s="30"/>
      <c r="AC650" s="30"/>
      <c r="AD650" s="30"/>
      <c r="AE650" s="67"/>
      <c r="AF650" s="30"/>
      <c r="AG650" s="30"/>
      <c r="AH650" s="30"/>
      <c r="AI650" s="30"/>
      <c r="AJ650" s="30"/>
      <c r="AK650" s="30"/>
      <c r="AL650" s="30"/>
      <c r="AM650" s="30"/>
      <c r="AN650" s="30"/>
      <c r="AO650" s="5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</row>
    <row r="651" spans="1:61" ht="15.5" x14ac:dyDescent="0.35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58"/>
      <c r="Z651" s="30"/>
      <c r="AA651" s="67"/>
      <c r="AB651" s="30"/>
      <c r="AC651" s="30"/>
      <c r="AD651" s="30"/>
      <c r="AE651" s="67"/>
      <c r="AF651" s="30"/>
      <c r="AG651" s="30"/>
      <c r="AH651" s="30"/>
      <c r="AI651" s="30"/>
      <c r="AJ651" s="30"/>
      <c r="AK651" s="30"/>
      <c r="AL651" s="30"/>
      <c r="AM651" s="30"/>
      <c r="AN651" s="30"/>
      <c r="AO651" s="5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</row>
    <row r="652" spans="1:61" ht="15.5" x14ac:dyDescent="0.35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58"/>
      <c r="Z652" s="30"/>
      <c r="AA652" s="67"/>
      <c r="AB652" s="30"/>
      <c r="AC652" s="30"/>
      <c r="AD652" s="30"/>
      <c r="AE652" s="67"/>
      <c r="AF652" s="30"/>
      <c r="AG652" s="30"/>
      <c r="AH652" s="30"/>
      <c r="AI652" s="30"/>
      <c r="AJ652" s="30"/>
      <c r="AK652" s="30"/>
      <c r="AL652" s="30"/>
      <c r="AM652" s="30"/>
      <c r="AN652" s="30"/>
      <c r="AO652" s="5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</row>
    <row r="653" spans="1:61" ht="15.5" x14ac:dyDescent="0.35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58"/>
      <c r="Z653" s="30"/>
      <c r="AA653" s="67"/>
      <c r="AB653" s="30"/>
      <c r="AC653" s="30"/>
      <c r="AD653" s="30"/>
      <c r="AE653" s="67"/>
      <c r="AF653" s="30"/>
      <c r="AG653" s="30"/>
      <c r="AH653" s="30"/>
      <c r="AI653" s="30"/>
      <c r="AJ653" s="30"/>
      <c r="AK653" s="30"/>
      <c r="AL653" s="30"/>
      <c r="AM653" s="30"/>
      <c r="AN653" s="30"/>
      <c r="AO653" s="5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</row>
    <row r="654" spans="1:61" ht="15.5" x14ac:dyDescent="0.35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58"/>
      <c r="Z654" s="30"/>
      <c r="AA654" s="67"/>
      <c r="AB654" s="30"/>
      <c r="AC654" s="30"/>
      <c r="AD654" s="30"/>
      <c r="AE654" s="67"/>
      <c r="AF654" s="30"/>
      <c r="AG654" s="30"/>
      <c r="AH654" s="30"/>
      <c r="AI654" s="30"/>
      <c r="AJ654" s="30"/>
      <c r="AK654" s="30"/>
      <c r="AL654" s="30"/>
      <c r="AM654" s="30"/>
      <c r="AN654" s="30"/>
      <c r="AO654" s="5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</row>
    <row r="655" spans="1:61" ht="15.5" x14ac:dyDescent="0.3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58"/>
      <c r="Z655" s="30"/>
      <c r="AA655" s="67"/>
      <c r="AB655" s="30"/>
      <c r="AC655" s="30"/>
      <c r="AD655" s="30"/>
      <c r="AE655" s="67"/>
      <c r="AF655" s="30"/>
      <c r="AG655" s="30"/>
      <c r="AH655" s="30"/>
      <c r="AI655" s="30"/>
      <c r="AJ655" s="30"/>
      <c r="AK655" s="30"/>
      <c r="AL655" s="30"/>
      <c r="AM655" s="30"/>
      <c r="AN655" s="30"/>
      <c r="AO655" s="5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</row>
    <row r="656" spans="1:61" ht="15.5" x14ac:dyDescent="0.35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58"/>
      <c r="Z656" s="30"/>
      <c r="AA656" s="67"/>
      <c r="AB656" s="30"/>
      <c r="AC656" s="30"/>
      <c r="AD656" s="30"/>
      <c r="AE656" s="67"/>
      <c r="AF656" s="30"/>
      <c r="AG656" s="30"/>
      <c r="AH656" s="30"/>
      <c r="AI656" s="30"/>
      <c r="AJ656" s="30"/>
      <c r="AK656" s="30"/>
      <c r="AL656" s="30"/>
      <c r="AM656" s="30"/>
      <c r="AN656" s="30"/>
      <c r="AO656" s="5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</row>
    <row r="657" spans="1:61" ht="15.5" x14ac:dyDescent="0.35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58"/>
      <c r="Z657" s="30"/>
      <c r="AA657" s="67"/>
      <c r="AB657" s="30"/>
      <c r="AC657" s="30"/>
      <c r="AD657" s="30"/>
      <c r="AE657" s="67"/>
      <c r="AF657" s="30"/>
      <c r="AG657" s="30"/>
      <c r="AH657" s="30"/>
      <c r="AI657" s="30"/>
      <c r="AJ657" s="30"/>
      <c r="AK657" s="30"/>
      <c r="AL657" s="30"/>
      <c r="AM657" s="30"/>
      <c r="AN657" s="30"/>
      <c r="AO657" s="5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</row>
    <row r="658" spans="1:61" ht="15.5" x14ac:dyDescent="0.35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58"/>
      <c r="Z658" s="30"/>
      <c r="AA658" s="67"/>
      <c r="AB658" s="30"/>
      <c r="AC658" s="30"/>
      <c r="AD658" s="30"/>
      <c r="AE658" s="67"/>
      <c r="AF658" s="30"/>
      <c r="AG658" s="30"/>
      <c r="AH658" s="30"/>
      <c r="AI658" s="30"/>
      <c r="AJ658" s="30"/>
      <c r="AK658" s="30"/>
      <c r="AL658" s="30"/>
      <c r="AM658" s="30"/>
      <c r="AN658" s="30"/>
      <c r="AO658" s="5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</row>
    <row r="659" spans="1:61" ht="15.5" x14ac:dyDescent="0.35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58"/>
      <c r="Z659" s="30"/>
      <c r="AA659" s="67"/>
      <c r="AB659" s="30"/>
      <c r="AC659" s="30"/>
      <c r="AD659" s="30"/>
      <c r="AE659" s="67"/>
      <c r="AF659" s="30"/>
      <c r="AG659" s="30"/>
      <c r="AH659" s="30"/>
      <c r="AI659" s="30"/>
      <c r="AJ659" s="30"/>
      <c r="AK659" s="30"/>
      <c r="AL659" s="30"/>
      <c r="AM659" s="30"/>
      <c r="AN659" s="30"/>
      <c r="AO659" s="5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</row>
    <row r="660" spans="1:61" ht="15.5" x14ac:dyDescent="0.35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58"/>
      <c r="Z660" s="30"/>
      <c r="AA660" s="67"/>
      <c r="AB660" s="30"/>
      <c r="AC660" s="30"/>
      <c r="AD660" s="30"/>
      <c r="AE660" s="67"/>
      <c r="AF660" s="30"/>
      <c r="AG660" s="30"/>
      <c r="AH660" s="30"/>
      <c r="AI660" s="30"/>
      <c r="AJ660" s="30"/>
      <c r="AK660" s="30"/>
      <c r="AL660" s="30"/>
      <c r="AM660" s="30"/>
      <c r="AN660" s="30"/>
      <c r="AO660" s="5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</row>
    <row r="661" spans="1:61" ht="15.5" x14ac:dyDescent="0.35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58"/>
      <c r="Z661" s="30"/>
      <c r="AA661" s="67"/>
      <c r="AB661" s="30"/>
      <c r="AC661" s="30"/>
      <c r="AD661" s="30"/>
      <c r="AE661" s="67"/>
      <c r="AF661" s="30"/>
      <c r="AG661" s="30"/>
      <c r="AH661" s="30"/>
      <c r="AI661" s="30"/>
      <c r="AJ661" s="30"/>
      <c r="AK661" s="30"/>
      <c r="AL661" s="30"/>
      <c r="AM661" s="30"/>
      <c r="AN661" s="30"/>
      <c r="AO661" s="5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</row>
    <row r="662" spans="1:61" ht="15.5" x14ac:dyDescent="0.35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58"/>
      <c r="Z662" s="30"/>
      <c r="AA662" s="67"/>
      <c r="AB662" s="30"/>
      <c r="AC662" s="30"/>
      <c r="AD662" s="30"/>
      <c r="AE662" s="67"/>
      <c r="AF662" s="30"/>
      <c r="AG662" s="30"/>
      <c r="AH662" s="30"/>
      <c r="AI662" s="30"/>
      <c r="AJ662" s="30"/>
      <c r="AK662" s="30"/>
      <c r="AL662" s="30"/>
      <c r="AM662" s="30"/>
      <c r="AN662" s="30"/>
      <c r="AO662" s="5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</row>
    <row r="663" spans="1:61" ht="15.5" x14ac:dyDescent="0.35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58"/>
      <c r="Z663" s="30"/>
      <c r="AA663" s="67"/>
      <c r="AB663" s="30"/>
      <c r="AC663" s="30"/>
      <c r="AD663" s="30"/>
      <c r="AE663" s="67"/>
      <c r="AF663" s="30"/>
      <c r="AG663" s="30"/>
      <c r="AH663" s="30"/>
      <c r="AI663" s="30"/>
      <c r="AJ663" s="30"/>
      <c r="AK663" s="30"/>
      <c r="AL663" s="30"/>
      <c r="AM663" s="30"/>
      <c r="AN663" s="30"/>
      <c r="AO663" s="5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</row>
    <row r="664" spans="1:61" ht="15.5" x14ac:dyDescent="0.35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58"/>
      <c r="Z664" s="30"/>
      <c r="AA664" s="67"/>
      <c r="AB664" s="30"/>
      <c r="AC664" s="30"/>
      <c r="AD664" s="30"/>
      <c r="AE664" s="67"/>
      <c r="AF664" s="30"/>
      <c r="AG664" s="30"/>
      <c r="AH664" s="30"/>
      <c r="AI664" s="30"/>
      <c r="AJ664" s="30"/>
      <c r="AK664" s="30"/>
      <c r="AL664" s="30"/>
      <c r="AM664" s="30"/>
      <c r="AN664" s="30"/>
      <c r="AO664" s="5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</row>
    <row r="665" spans="1:61" ht="15.5" x14ac:dyDescent="0.3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58"/>
      <c r="Z665" s="30"/>
      <c r="AA665" s="67"/>
      <c r="AB665" s="30"/>
      <c r="AC665" s="30"/>
      <c r="AD665" s="30"/>
      <c r="AE665" s="67"/>
      <c r="AF665" s="30"/>
      <c r="AG665" s="30"/>
      <c r="AH665" s="30"/>
      <c r="AI665" s="30"/>
      <c r="AJ665" s="30"/>
      <c r="AK665" s="30"/>
      <c r="AL665" s="30"/>
      <c r="AM665" s="30"/>
      <c r="AN665" s="30"/>
      <c r="AO665" s="5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</row>
    <row r="666" spans="1:61" ht="15.5" x14ac:dyDescent="0.35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58"/>
      <c r="Z666" s="30"/>
      <c r="AA666" s="67"/>
      <c r="AB666" s="30"/>
      <c r="AC666" s="30"/>
      <c r="AD666" s="30"/>
      <c r="AE666" s="67"/>
      <c r="AF666" s="30"/>
      <c r="AG666" s="30"/>
      <c r="AH666" s="30"/>
      <c r="AI666" s="30"/>
      <c r="AJ666" s="30"/>
      <c r="AK666" s="30"/>
      <c r="AL666" s="30"/>
      <c r="AM666" s="30"/>
      <c r="AN666" s="30"/>
      <c r="AO666" s="5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</row>
    <row r="667" spans="1:61" ht="15.5" x14ac:dyDescent="0.35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58"/>
      <c r="Z667" s="30"/>
      <c r="AA667" s="67"/>
      <c r="AB667" s="30"/>
      <c r="AC667" s="30"/>
      <c r="AD667" s="30"/>
      <c r="AE667" s="67"/>
      <c r="AF667" s="30"/>
      <c r="AG667" s="30"/>
      <c r="AH667" s="30"/>
      <c r="AI667" s="30"/>
      <c r="AJ667" s="30"/>
      <c r="AK667" s="30"/>
      <c r="AL667" s="30"/>
      <c r="AM667" s="30"/>
      <c r="AN667" s="30"/>
      <c r="AO667" s="5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</row>
    <row r="668" spans="1:61" ht="15.5" x14ac:dyDescent="0.35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58"/>
      <c r="Z668" s="30"/>
      <c r="AA668" s="67"/>
      <c r="AB668" s="30"/>
      <c r="AC668" s="30"/>
      <c r="AD668" s="30"/>
      <c r="AE668" s="67"/>
      <c r="AF668" s="30"/>
      <c r="AG668" s="30"/>
      <c r="AH668" s="30"/>
      <c r="AI668" s="30"/>
      <c r="AJ668" s="30"/>
      <c r="AK668" s="30"/>
      <c r="AL668" s="30"/>
      <c r="AM668" s="30"/>
      <c r="AN668" s="30"/>
      <c r="AO668" s="5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</row>
    <row r="669" spans="1:61" ht="15.5" x14ac:dyDescent="0.35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58"/>
      <c r="Z669" s="30"/>
      <c r="AA669" s="67"/>
      <c r="AB669" s="30"/>
      <c r="AC669" s="30"/>
      <c r="AD669" s="30"/>
      <c r="AE669" s="67"/>
      <c r="AF669" s="30"/>
      <c r="AG669" s="30"/>
      <c r="AH669" s="30"/>
      <c r="AI669" s="30"/>
      <c r="AJ669" s="30"/>
      <c r="AK669" s="30"/>
      <c r="AL669" s="30"/>
      <c r="AM669" s="30"/>
      <c r="AN669" s="30"/>
      <c r="AO669" s="5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</row>
    <row r="670" spans="1:61" ht="15.5" x14ac:dyDescent="0.35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58"/>
      <c r="Z670" s="30"/>
      <c r="AA670" s="67"/>
      <c r="AB670" s="30"/>
      <c r="AC670" s="30"/>
      <c r="AD670" s="30"/>
      <c r="AE670" s="67"/>
      <c r="AF670" s="30"/>
      <c r="AG670" s="30"/>
      <c r="AH670" s="30"/>
      <c r="AI670" s="30"/>
      <c r="AJ670" s="30"/>
      <c r="AK670" s="30"/>
      <c r="AL670" s="30"/>
      <c r="AM670" s="30"/>
      <c r="AN670" s="30"/>
      <c r="AO670" s="5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</row>
    <row r="671" spans="1:61" ht="15.5" x14ac:dyDescent="0.35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58"/>
      <c r="Z671" s="30"/>
      <c r="AA671" s="67"/>
      <c r="AB671" s="30"/>
      <c r="AC671" s="30"/>
      <c r="AD671" s="30"/>
      <c r="AE671" s="67"/>
      <c r="AF671" s="30"/>
      <c r="AG671" s="30"/>
      <c r="AH671" s="30"/>
      <c r="AI671" s="30"/>
      <c r="AJ671" s="30"/>
      <c r="AK671" s="30"/>
      <c r="AL671" s="30"/>
      <c r="AM671" s="30"/>
      <c r="AN671" s="30"/>
      <c r="AO671" s="5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</row>
    <row r="672" spans="1:61" ht="15.5" x14ac:dyDescent="0.35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58"/>
      <c r="Z672" s="30"/>
      <c r="AA672" s="67"/>
      <c r="AB672" s="30"/>
      <c r="AC672" s="30"/>
      <c r="AD672" s="30"/>
      <c r="AE672" s="67"/>
      <c r="AF672" s="30"/>
      <c r="AG672" s="30"/>
      <c r="AH672" s="30"/>
      <c r="AI672" s="30"/>
      <c r="AJ672" s="30"/>
      <c r="AK672" s="30"/>
      <c r="AL672" s="30"/>
      <c r="AM672" s="30"/>
      <c r="AN672" s="30"/>
      <c r="AO672" s="5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</row>
    <row r="673" spans="1:61" ht="15.5" x14ac:dyDescent="0.35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58"/>
      <c r="Z673" s="30"/>
      <c r="AA673" s="67"/>
      <c r="AB673" s="30"/>
      <c r="AC673" s="30"/>
      <c r="AD673" s="30"/>
      <c r="AE673" s="67"/>
      <c r="AF673" s="30"/>
      <c r="AG673" s="30"/>
      <c r="AH673" s="30"/>
      <c r="AI673" s="30"/>
      <c r="AJ673" s="30"/>
      <c r="AK673" s="30"/>
      <c r="AL673" s="30"/>
      <c r="AM673" s="30"/>
      <c r="AN673" s="30"/>
      <c r="AO673" s="5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</row>
    <row r="674" spans="1:61" ht="15.5" x14ac:dyDescent="0.35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58"/>
      <c r="Z674" s="30"/>
      <c r="AA674" s="67"/>
      <c r="AB674" s="30"/>
      <c r="AC674" s="30"/>
      <c r="AD674" s="30"/>
      <c r="AE674" s="67"/>
      <c r="AF674" s="30"/>
      <c r="AG674" s="30"/>
      <c r="AH674" s="30"/>
      <c r="AI674" s="30"/>
      <c r="AJ674" s="30"/>
      <c r="AK674" s="30"/>
      <c r="AL674" s="30"/>
      <c r="AM674" s="30"/>
      <c r="AN674" s="30"/>
      <c r="AO674" s="5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</row>
    <row r="675" spans="1:61" ht="15.5" x14ac:dyDescent="0.3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58"/>
      <c r="Z675" s="30"/>
      <c r="AA675" s="67"/>
      <c r="AB675" s="30"/>
      <c r="AC675" s="30"/>
      <c r="AD675" s="30"/>
      <c r="AE675" s="67"/>
      <c r="AF675" s="30"/>
      <c r="AG675" s="30"/>
      <c r="AH675" s="30"/>
      <c r="AI675" s="30"/>
      <c r="AJ675" s="30"/>
      <c r="AK675" s="30"/>
      <c r="AL675" s="30"/>
      <c r="AM675" s="30"/>
      <c r="AN675" s="30"/>
      <c r="AO675" s="5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</row>
    <row r="676" spans="1:61" ht="15.5" x14ac:dyDescent="0.35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58"/>
      <c r="Z676" s="30"/>
      <c r="AA676" s="67"/>
      <c r="AB676" s="30"/>
      <c r="AC676" s="30"/>
      <c r="AD676" s="30"/>
      <c r="AE676" s="67"/>
      <c r="AF676" s="30"/>
      <c r="AG676" s="30"/>
      <c r="AH676" s="30"/>
      <c r="AI676" s="30"/>
      <c r="AJ676" s="30"/>
      <c r="AK676" s="30"/>
      <c r="AL676" s="30"/>
      <c r="AM676" s="30"/>
      <c r="AN676" s="30"/>
      <c r="AO676" s="5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</row>
    <row r="677" spans="1:61" ht="15.5" x14ac:dyDescent="0.35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58"/>
      <c r="Z677" s="30"/>
      <c r="AA677" s="67"/>
      <c r="AB677" s="30"/>
      <c r="AC677" s="30"/>
      <c r="AD677" s="30"/>
      <c r="AE677" s="67"/>
      <c r="AF677" s="30"/>
      <c r="AG677" s="30"/>
      <c r="AH677" s="30"/>
      <c r="AI677" s="30"/>
      <c r="AJ677" s="30"/>
      <c r="AK677" s="30"/>
      <c r="AL677" s="30"/>
      <c r="AM677" s="30"/>
      <c r="AN677" s="30"/>
      <c r="AO677" s="5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</row>
    <row r="678" spans="1:61" ht="15.5" x14ac:dyDescent="0.35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58"/>
      <c r="Z678" s="30"/>
      <c r="AA678" s="67"/>
      <c r="AB678" s="30"/>
      <c r="AC678" s="30"/>
      <c r="AD678" s="30"/>
      <c r="AE678" s="67"/>
      <c r="AF678" s="30"/>
      <c r="AG678" s="30"/>
      <c r="AH678" s="30"/>
      <c r="AI678" s="30"/>
      <c r="AJ678" s="30"/>
      <c r="AK678" s="30"/>
      <c r="AL678" s="30"/>
      <c r="AM678" s="30"/>
      <c r="AN678" s="30"/>
      <c r="AO678" s="5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</row>
    <row r="679" spans="1:61" ht="15.5" x14ac:dyDescent="0.35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58"/>
      <c r="Z679" s="30"/>
      <c r="AA679" s="67"/>
      <c r="AB679" s="30"/>
      <c r="AC679" s="30"/>
      <c r="AD679" s="30"/>
      <c r="AE679" s="67"/>
      <c r="AF679" s="30"/>
      <c r="AG679" s="30"/>
      <c r="AH679" s="30"/>
      <c r="AI679" s="30"/>
      <c r="AJ679" s="30"/>
      <c r="AK679" s="30"/>
      <c r="AL679" s="30"/>
      <c r="AM679" s="30"/>
      <c r="AN679" s="30"/>
      <c r="AO679" s="5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</row>
    <row r="680" spans="1:61" ht="15.5" x14ac:dyDescent="0.3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58"/>
      <c r="Z680" s="30"/>
      <c r="AA680" s="67"/>
      <c r="AB680" s="30"/>
      <c r="AC680" s="30"/>
      <c r="AD680" s="30"/>
      <c r="AE680" s="67"/>
      <c r="AF680" s="30"/>
      <c r="AG680" s="30"/>
      <c r="AH680" s="30"/>
      <c r="AI680" s="30"/>
      <c r="AJ680" s="30"/>
      <c r="AK680" s="30"/>
      <c r="AL680" s="30"/>
      <c r="AM680" s="30"/>
      <c r="AN680" s="30"/>
      <c r="AO680" s="5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</row>
    <row r="681" spans="1:61" ht="15.5" x14ac:dyDescent="0.35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58"/>
      <c r="Z681" s="30"/>
      <c r="AA681" s="67"/>
      <c r="AB681" s="30"/>
      <c r="AC681" s="30"/>
      <c r="AD681" s="30"/>
      <c r="AE681" s="67"/>
      <c r="AF681" s="30"/>
      <c r="AG681" s="30"/>
      <c r="AH681" s="30"/>
      <c r="AI681" s="30"/>
      <c r="AJ681" s="30"/>
      <c r="AK681" s="30"/>
      <c r="AL681" s="30"/>
      <c r="AM681" s="30"/>
      <c r="AN681" s="30"/>
      <c r="AO681" s="5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</row>
    <row r="682" spans="1:61" ht="15.5" x14ac:dyDescent="0.35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58"/>
      <c r="Z682" s="30"/>
      <c r="AA682" s="67"/>
      <c r="AB682" s="30"/>
      <c r="AC682" s="30"/>
      <c r="AD682" s="30"/>
      <c r="AE682" s="67"/>
      <c r="AF682" s="30"/>
      <c r="AG682" s="30"/>
      <c r="AH682" s="30"/>
      <c r="AI682" s="30"/>
      <c r="AJ682" s="30"/>
      <c r="AK682" s="30"/>
      <c r="AL682" s="30"/>
      <c r="AM682" s="30"/>
      <c r="AN682" s="30"/>
      <c r="AO682" s="5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</row>
    <row r="683" spans="1:61" ht="15.5" x14ac:dyDescent="0.35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58"/>
      <c r="Z683" s="30"/>
      <c r="AA683" s="67"/>
      <c r="AB683" s="30"/>
      <c r="AC683" s="30"/>
      <c r="AD683" s="30"/>
      <c r="AE683" s="67"/>
      <c r="AF683" s="30"/>
      <c r="AG683" s="30"/>
      <c r="AH683" s="30"/>
      <c r="AI683" s="30"/>
      <c r="AJ683" s="30"/>
      <c r="AK683" s="30"/>
      <c r="AL683" s="30"/>
      <c r="AM683" s="30"/>
      <c r="AN683" s="30"/>
      <c r="AO683" s="5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</row>
    <row r="684" spans="1:61" ht="15.5" x14ac:dyDescent="0.35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58"/>
      <c r="Z684" s="30"/>
      <c r="AA684" s="67"/>
      <c r="AB684" s="30"/>
      <c r="AC684" s="30"/>
      <c r="AD684" s="30"/>
      <c r="AE684" s="67"/>
      <c r="AF684" s="30"/>
      <c r="AG684" s="30"/>
      <c r="AH684" s="30"/>
      <c r="AI684" s="30"/>
      <c r="AJ684" s="30"/>
      <c r="AK684" s="30"/>
      <c r="AL684" s="30"/>
      <c r="AM684" s="30"/>
      <c r="AN684" s="30"/>
      <c r="AO684" s="5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</row>
    <row r="685" spans="1:61" ht="15.5" x14ac:dyDescent="0.3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58"/>
      <c r="Z685" s="30"/>
      <c r="AA685" s="67"/>
      <c r="AB685" s="30"/>
      <c r="AC685" s="30"/>
      <c r="AD685" s="30"/>
      <c r="AE685" s="67"/>
      <c r="AF685" s="30"/>
      <c r="AG685" s="30"/>
      <c r="AH685" s="30"/>
      <c r="AI685" s="30"/>
      <c r="AJ685" s="30"/>
      <c r="AK685" s="30"/>
      <c r="AL685" s="30"/>
      <c r="AM685" s="30"/>
      <c r="AN685" s="30"/>
      <c r="AO685" s="5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</row>
    <row r="686" spans="1:61" ht="15.5" x14ac:dyDescent="0.35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58"/>
      <c r="Z686" s="30"/>
      <c r="AA686" s="67"/>
      <c r="AB686" s="30"/>
      <c r="AC686" s="30"/>
      <c r="AD686" s="30"/>
      <c r="AE686" s="67"/>
      <c r="AF686" s="30"/>
      <c r="AG686" s="30"/>
      <c r="AH686" s="30"/>
      <c r="AI686" s="30"/>
      <c r="AJ686" s="30"/>
      <c r="AK686" s="30"/>
      <c r="AL686" s="30"/>
      <c r="AM686" s="30"/>
      <c r="AN686" s="30"/>
      <c r="AO686" s="5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</row>
    <row r="687" spans="1:61" ht="15.5" x14ac:dyDescent="0.35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58"/>
      <c r="Z687" s="30"/>
      <c r="AA687" s="67"/>
      <c r="AB687" s="30"/>
      <c r="AC687" s="30"/>
      <c r="AD687" s="30"/>
      <c r="AE687" s="67"/>
      <c r="AF687" s="30"/>
      <c r="AG687" s="30"/>
      <c r="AH687" s="30"/>
      <c r="AI687" s="30"/>
      <c r="AJ687" s="30"/>
      <c r="AK687" s="30"/>
      <c r="AL687" s="30"/>
      <c r="AM687" s="30"/>
      <c r="AN687" s="30"/>
      <c r="AO687" s="5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</row>
    <row r="688" spans="1:61" ht="15.5" x14ac:dyDescent="0.35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58"/>
      <c r="Z688" s="30"/>
      <c r="AA688" s="67"/>
      <c r="AB688" s="30"/>
      <c r="AC688" s="30"/>
      <c r="AD688" s="30"/>
      <c r="AE688" s="67"/>
      <c r="AF688" s="30"/>
      <c r="AG688" s="30"/>
      <c r="AH688" s="30"/>
      <c r="AI688" s="30"/>
      <c r="AJ688" s="30"/>
      <c r="AK688" s="30"/>
      <c r="AL688" s="30"/>
      <c r="AM688" s="30"/>
      <c r="AN688" s="30"/>
      <c r="AO688" s="5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</row>
    <row r="689" spans="1:61" ht="15.5" x14ac:dyDescent="0.35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58"/>
      <c r="Z689" s="30"/>
      <c r="AA689" s="67"/>
      <c r="AB689" s="30"/>
      <c r="AC689" s="30"/>
      <c r="AD689" s="30"/>
      <c r="AE689" s="67"/>
      <c r="AF689" s="30"/>
      <c r="AG689" s="30"/>
      <c r="AH689" s="30"/>
      <c r="AI689" s="30"/>
      <c r="AJ689" s="30"/>
      <c r="AK689" s="30"/>
      <c r="AL689" s="30"/>
      <c r="AM689" s="30"/>
      <c r="AN689" s="30"/>
      <c r="AO689" s="5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</row>
    <row r="690" spans="1:61" ht="15.5" x14ac:dyDescent="0.35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58"/>
      <c r="Z690" s="30"/>
      <c r="AA690" s="67"/>
      <c r="AB690" s="30"/>
      <c r="AC690" s="30"/>
      <c r="AD690" s="30"/>
      <c r="AE690" s="67"/>
      <c r="AF690" s="30"/>
      <c r="AG690" s="30"/>
      <c r="AH690" s="30"/>
      <c r="AI690" s="30"/>
      <c r="AJ690" s="30"/>
      <c r="AK690" s="30"/>
      <c r="AL690" s="30"/>
      <c r="AM690" s="30"/>
      <c r="AN690" s="30"/>
      <c r="AO690" s="5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</row>
    <row r="691" spans="1:61" ht="15.5" x14ac:dyDescent="0.35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58"/>
      <c r="Z691" s="30"/>
      <c r="AA691" s="67"/>
      <c r="AB691" s="30"/>
      <c r="AC691" s="30"/>
      <c r="AD691" s="30"/>
      <c r="AE691" s="67"/>
      <c r="AF691" s="30"/>
      <c r="AG691" s="30"/>
      <c r="AH691" s="30"/>
      <c r="AI691" s="30"/>
      <c r="AJ691" s="30"/>
      <c r="AK691" s="30"/>
      <c r="AL691" s="30"/>
      <c r="AM691" s="30"/>
      <c r="AN691" s="30"/>
      <c r="AO691" s="5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</row>
    <row r="692" spans="1:61" ht="15.5" x14ac:dyDescent="0.35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58"/>
      <c r="Z692" s="30"/>
      <c r="AA692" s="67"/>
      <c r="AB692" s="30"/>
      <c r="AC692" s="30"/>
      <c r="AD692" s="30"/>
      <c r="AE692" s="67"/>
      <c r="AF692" s="30"/>
      <c r="AG692" s="30"/>
      <c r="AH692" s="30"/>
      <c r="AI692" s="30"/>
      <c r="AJ692" s="30"/>
      <c r="AK692" s="30"/>
      <c r="AL692" s="30"/>
      <c r="AM692" s="30"/>
      <c r="AN692" s="30"/>
      <c r="AO692" s="5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</row>
    <row r="693" spans="1:61" ht="15.5" x14ac:dyDescent="0.35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58"/>
      <c r="Z693" s="30"/>
      <c r="AA693" s="67"/>
      <c r="AB693" s="30"/>
      <c r="AC693" s="30"/>
      <c r="AD693" s="30"/>
      <c r="AE693" s="67"/>
      <c r="AF693" s="30"/>
      <c r="AG693" s="30"/>
      <c r="AH693" s="30"/>
      <c r="AI693" s="30"/>
      <c r="AJ693" s="30"/>
      <c r="AK693" s="30"/>
      <c r="AL693" s="30"/>
      <c r="AM693" s="30"/>
      <c r="AN693" s="30"/>
      <c r="AO693" s="5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</row>
    <row r="694" spans="1:61" ht="15.5" x14ac:dyDescent="0.3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58"/>
      <c r="Z694" s="30"/>
      <c r="AA694" s="67"/>
      <c r="AB694" s="30"/>
      <c r="AC694" s="30"/>
      <c r="AD694" s="30"/>
      <c r="AE694" s="67"/>
      <c r="AF694" s="30"/>
      <c r="AG694" s="30"/>
      <c r="AH694" s="30"/>
      <c r="AI694" s="30"/>
      <c r="AJ694" s="30"/>
      <c r="AK694" s="30"/>
      <c r="AL694" s="30"/>
      <c r="AM694" s="30"/>
      <c r="AN694" s="30"/>
      <c r="AO694" s="5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</row>
    <row r="695" spans="1:61" ht="15.5" x14ac:dyDescent="0.3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58"/>
      <c r="Z695" s="30"/>
      <c r="AA695" s="67"/>
      <c r="AB695" s="30"/>
      <c r="AC695" s="30"/>
      <c r="AD695" s="30"/>
      <c r="AE695" s="67"/>
      <c r="AF695" s="30"/>
      <c r="AG695" s="30"/>
      <c r="AH695" s="30"/>
      <c r="AI695" s="30"/>
      <c r="AJ695" s="30"/>
      <c r="AK695" s="30"/>
      <c r="AL695" s="30"/>
      <c r="AM695" s="30"/>
      <c r="AN695" s="30"/>
      <c r="AO695" s="5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</row>
    <row r="696" spans="1:61" ht="15.5" x14ac:dyDescent="0.35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58"/>
      <c r="Z696" s="30"/>
      <c r="AA696" s="67"/>
      <c r="AB696" s="30"/>
      <c r="AC696" s="30"/>
      <c r="AD696" s="30"/>
      <c r="AE696" s="67"/>
      <c r="AF696" s="30"/>
      <c r="AG696" s="30"/>
      <c r="AH696" s="30"/>
      <c r="AI696" s="30"/>
      <c r="AJ696" s="30"/>
      <c r="AK696" s="30"/>
      <c r="AL696" s="30"/>
      <c r="AM696" s="30"/>
      <c r="AN696" s="30"/>
      <c r="AO696" s="5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</row>
    <row r="697" spans="1:61" ht="15.5" x14ac:dyDescent="0.35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58"/>
      <c r="Z697" s="30"/>
      <c r="AA697" s="67"/>
      <c r="AB697" s="30"/>
      <c r="AC697" s="30"/>
      <c r="AD697" s="30"/>
      <c r="AE697" s="67"/>
      <c r="AF697" s="30"/>
      <c r="AG697" s="30"/>
      <c r="AH697" s="30"/>
      <c r="AI697" s="30"/>
      <c r="AJ697" s="30"/>
      <c r="AK697" s="30"/>
      <c r="AL697" s="30"/>
      <c r="AM697" s="30"/>
      <c r="AN697" s="30"/>
      <c r="AO697" s="5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</row>
    <row r="698" spans="1:61" ht="15.5" x14ac:dyDescent="0.35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58"/>
      <c r="Z698" s="30"/>
      <c r="AA698" s="67"/>
      <c r="AB698" s="30"/>
      <c r="AC698" s="30"/>
      <c r="AD698" s="30"/>
      <c r="AE698" s="67"/>
      <c r="AF698" s="30"/>
      <c r="AG698" s="30"/>
      <c r="AH698" s="30"/>
      <c r="AI698" s="30"/>
      <c r="AJ698" s="30"/>
      <c r="AK698" s="30"/>
      <c r="AL698" s="30"/>
      <c r="AM698" s="30"/>
      <c r="AN698" s="30"/>
      <c r="AO698" s="5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</row>
    <row r="699" spans="1:61" ht="15.5" x14ac:dyDescent="0.35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58"/>
      <c r="Z699" s="30"/>
      <c r="AA699" s="67"/>
      <c r="AB699" s="30"/>
      <c r="AC699" s="30"/>
      <c r="AD699" s="30"/>
      <c r="AE699" s="67"/>
      <c r="AF699" s="30"/>
      <c r="AG699" s="30"/>
      <c r="AH699" s="30"/>
      <c r="AI699" s="30"/>
      <c r="AJ699" s="30"/>
      <c r="AK699" s="30"/>
      <c r="AL699" s="30"/>
      <c r="AM699" s="30"/>
      <c r="AN699" s="30"/>
      <c r="AO699" s="5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</row>
    <row r="700" spans="1:61" ht="15.5" x14ac:dyDescent="0.35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58"/>
      <c r="Z700" s="30"/>
      <c r="AA700" s="67"/>
      <c r="AB700" s="30"/>
      <c r="AC700" s="30"/>
      <c r="AD700" s="30"/>
      <c r="AE700" s="67"/>
      <c r="AF700" s="30"/>
      <c r="AG700" s="30"/>
      <c r="AH700" s="30"/>
      <c r="AI700" s="30"/>
      <c r="AJ700" s="30"/>
      <c r="AK700" s="30"/>
      <c r="AL700" s="30"/>
      <c r="AM700" s="30"/>
      <c r="AN700" s="30"/>
      <c r="AO700" s="5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</row>
    <row r="701" spans="1:61" ht="15.5" x14ac:dyDescent="0.35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58"/>
      <c r="Z701" s="30"/>
      <c r="AA701" s="67"/>
      <c r="AB701" s="30"/>
      <c r="AC701" s="30"/>
      <c r="AD701" s="30"/>
      <c r="AE701" s="67"/>
      <c r="AF701" s="30"/>
      <c r="AG701" s="30"/>
      <c r="AH701" s="30"/>
      <c r="AI701" s="30"/>
      <c r="AJ701" s="30"/>
      <c r="AK701" s="30"/>
      <c r="AL701" s="30"/>
      <c r="AM701" s="30"/>
      <c r="AN701" s="30"/>
      <c r="AO701" s="5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</row>
    <row r="702" spans="1:61" ht="15.5" x14ac:dyDescent="0.35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58"/>
      <c r="Z702" s="30"/>
      <c r="AA702" s="67"/>
      <c r="AB702" s="30"/>
      <c r="AC702" s="30"/>
      <c r="AD702" s="30"/>
      <c r="AE702" s="67"/>
      <c r="AF702" s="30"/>
      <c r="AG702" s="30"/>
      <c r="AH702" s="30"/>
      <c r="AI702" s="30"/>
      <c r="AJ702" s="30"/>
      <c r="AK702" s="30"/>
      <c r="AL702" s="30"/>
      <c r="AM702" s="30"/>
      <c r="AN702" s="30"/>
      <c r="AO702" s="5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</row>
    <row r="703" spans="1:61" ht="15.5" x14ac:dyDescent="0.35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58"/>
      <c r="Z703" s="30"/>
      <c r="AA703" s="67"/>
      <c r="AB703" s="30"/>
      <c r="AC703" s="30"/>
      <c r="AD703" s="30"/>
      <c r="AE703" s="67"/>
      <c r="AF703" s="30"/>
      <c r="AG703" s="30"/>
      <c r="AH703" s="30"/>
      <c r="AI703" s="30"/>
      <c r="AJ703" s="30"/>
      <c r="AK703" s="30"/>
      <c r="AL703" s="30"/>
      <c r="AM703" s="30"/>
      <c r="AN703" s="30"/>
      <c r="AO703" s="5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</row>
    <row r="704" spans="1:61" ht="15.5" x14ac:dyDescent="0.35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58"/>
      <c r="Z704" s="30"/>
      <c r="AA704" s="67"/>
      <c r="AB704" s="30"/>
      <c r="AC704" s="30"/>
      <c r="AD704" s="30"/>
      <c r="AE704" s="67"/>
      <c r="AF704" s="30"/>
      <c r="AG704" s="30"/>
      <c r="AH704" s="30"/>
      <c r="AI704" s="30"/>
      <c r="AJ704" s="30"/>
      <c r="AK704" s="30"/>
      <c r="AL704" s="30"/>
      <c r="AM704" s="30"/>
      <c r="AN704" s="30"/>
      <c r="AO704" s="5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</row>
    <row r="705" spans="1:61" ht="15.5" x14ac:dyDescent="0.3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58"/>
      <c r="Z705" s="30"/>
      <c r="AA705" s="67"/>
      <c r="AB705" s="30"/>
      <c r="AC705" s="30"/>
      <c r="AD705" s="30"/>
      <c r="AE705" s="67"/>
      <c r="AF705" s="30"/>
      <c r="AG705" s="30"/>
      <c r="AH705" s="30"/>
      <c r="AI705" s="30"/>
      <c r="AJ705" s="30"/>
      <c r="AK705" s="30"/>
      <c r="AL705" s="30"/>
      <c r="AM705" s="30"/>
      <c r="AN705" s="30"/>
      <c r="AO705" s="5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</row>
    <row r="706" spans="1:61" ht="15.5" x14ac:dyDescent="0.35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58"/>
      <c r="Z706" s="30"/>
      <c r="AA706" s="67"/>
      <c r="AB706" s="30"/>
      <c r="AC706" s="30"/>
      <c r="AD706" s="30"/>
      <c r="AE706" s="67"/>
      <c r="AF706" s="30"/>
      <c r="AG706" s="30"/>
      <c r="AH706" s="30"/>
      <c r="AI706" s="30"/>
      <c r="AJ706" s="30"/>
      <c r="AK706" s="30"/>
      <c r="AL706" s="30"/>
      <c r="AM706" s="30"/>
      <c r="AN706" s="30"/>
      <c r="AO706" s="5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</row>
    <row r="707" spans="1:61" ht="15.5" x14ac:dyDescent="0.35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58"/>
      <c r="Z707" s="30"/>
      <c r="AA707" s="67"/>
      <c r="AB707" s="30"/>
      <c r="AC707" s="30"/>
      <c r="AD707" s="30"/>
      <c r="AE707" s="67"/>
      <c r="AF707" s="30"/>
      <c r="AG707" s="30"/>
      <c r="AH707" s="30"/>
      <c r="AI707" s="30"/>
      <c r="AJ707" s="30"/>
      <c r="AK707" s="30"/>
      <c r="AL707" s="30"/>
      <c r="AM707" s="30"/>
      <c r="AN707" s="30"/>
      <c r="AO707" s="5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</row>
    <row r="708" spans="1:61" ht="15.5" x14ac:dyDescent="0.3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58"/>
      <c r="Z708" s="30"/>
      <c r="AA708" s="67"/>
      <c r="AB708" s="30"/>
      <c r="AC708" s="30"/>
      <c r="AD708" s="30"/>
      <c r="AE708" s="67"/>
      <c r="AF708" s="30"/>
      <c r="AG708" s="30"/>
      <c r="AH708" s="30"/>
      <c r="AI708" s="30"/>
      <c r="AJ708" s="30"/>
      <c r="AK708" s="30"/>
      <c r="AL708" s="30"/>
      <c r="AM708" s="30"/>
      <c r="AN708" s="30"/>
      <c r="AO708" s="5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</row>
    <row r="709" spans="1:61" ht="15.5" x14ac:dyDescent="0.35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58"/>
      <c r="Z709" s="30"/>
      <c r="AA709" s="67"/>
      <c r="AB709" s="30"/>
      <c r="AC709" s="30"/>
      <c r="AD709" s="30"/>
      <c r="AE709" s="67"/>
      <c r="AF709" s="30"/>
      <c r="AG709" s="30"/>
      <c r="AH709" s="30"/>
      <c r="AI709" s="30"/>
      <c r="AJ709" s="30"/>
      <c r="AK709" s="30"/>
      <c r="AL709" s="30"/>
      <c r="AM709" s="30"/>
      <c r="AN709" s="30"/>
      <c r="AO709" s="5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</row>
    <row r="710" spans="1:61" ht="15.5" x14ac:dyDescent="0.35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58"/>
      <c r="Z710" s="30"/>
      <c r="AA710" s="67"/>
      <c r="AB710" s="30"/>
      <c r="AC710" s="30"/>
      <c r="AD710" s="30"/>
      <c r="AE710" s="67"/>
      <c r="AF710" s="30"/>
      <c r="AG710" s="30"/>
      <c r="AH710" s="30"/>
      <c r="AI710" s="30"/>
      <c r="AJ710" s="30"/>
      <c r="AK710" s="30"/>
      <c r="AL710" s="30"/>
      <c r="AM710" s="30"/>
      <c r="AN710" s="30"/>
      <c r="AO710" s="5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</row>
    <row r="711" spans="1:61" ht="15.5" x14ac:dyDescent="0.35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58"/>
      <c r="Z711" s="30"/>
      <c r="AA711" s="67"/>
      <c r="AB711" s="30"/>
      <c r="AC711" s="30"/>
      <c r="AD711" s="30"/>
      <c r="AE711" s="67"/>
      <c r="AF711" s="30"/>
      <c r="AG711" s="30"/>
      <c r="AH711" s="30"/>
      <c r="AI711" s="30"/>
      <c r="AJ711" s="30"/>
      <c r="AK711" s="30"/>
      <c r="AL711" s="30"/>
      <c r="AM711" s="30"/>
      <c r="AN711" s="30"/>
      <c r="AO711" s="5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</row>
    <row r="712" spans="1:61" ht="15.5" x14ac:dyDescent="0.35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58"/>
      <c r="Z712" s="30"/>
      <c r="AA712" s="67"/>
      <c r="AB712" s="30"/>
      <c r="AC712" s="30"/>
      <c r="AD712" s="30"/>
      <c r="AE712" s="67"/>
      <c r="AF712" s="30"/>
      <c r="AG712" s="30"/>
      <c r="AH712" s="30"/>
      <c r="AI712" s="30"/>
      <c r="AJ712" s="30"/>
      <c r="AK712" s="30"/>
      <c r="AL712" s="30"/>
      <c r="AM712" s="30"/>
      <c r="AN712" s="30"/>
      <c r="AO712" s="5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</row>
    <row r="713" spans="1:61" ht="15.5" x14ac:dyDescent="0.35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58"/>
      <c r="Z713" s="30"/>
      <c r="AA713" s="67"/>
      <c r="AB713" s="30"/>
      <c r="AC713" s="30"/>
      <c r="AD713" s="30"/>
      <c r="AE713" s="67"/>
      <c r="AF713" s="30"/>
      <c r="AG713" s="30"/>
      <c r="AH713" s="30"/>
      <c r="AI713" s="30"/>
      <c r="AJ713" s="30"/>
      <c r="AK713" s="30"/>
      <c r="AL713" s="30"/>
      <c r="AM713" s="30"/>
      <c r="AN713" s="30"/>
      <c r="AO713" s="5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</row>
    <row r="714" spans="1:61" ht="15.5" x14ac:dyDescent="0.35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58"/>
      <c r="Z714" s="30"/>
      <c r="AA714" s="67"/>
      <c r="AB714" s="30"/>
      <c r="AC714" s="30"/>
      <c r="AD714" s="30"/>
      <c r="AE714" s="67"/>
      <c r="AF714" s="30"/>
      <c r="AG714" s="30"/>
      <c r="AH714" s="30"/>
      <c r="AI714" s="30"/>
      <c r="AJ714" s="30"/>
      <c r="AK714" s="30"/>
      <c r="AL714" s="30"/>
      <c r="AM714" s="30"/>
      <c r="AN714" s="30"/>
      <c r="AO714" s="5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</row>
    <row r="715" spans="1:61" ht="15.5" x14ac:dyDescent="0.3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58"/>
      <c r="Z715" s="30"/>
      <c r="AA715" s="67"/>
      <c r="AB715" s="30"/>
      <c r="AC715" s="30"/>
      <c r="AD715" s="30"/>
      <c r="AE715" s="67"/>
      <c r="AF715" s="30"/>
      <c r="AG715" s="30"/>
      <c r="AH715" s="30"/>
      <c r="AI715" s="30"/>
      <c r="AJ715" s="30"/>
      <c r="AK715" s="30"/>
      <c r="AL715" s="30"/>
      <c r="AM715" s="30"/>
      <c r="AN715" s="30"/>
      <c r="AO715" s="5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</row>
    <row r="716" spans="1:61" ht="15.5" x14ac:dyDescent="0.35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58"/>
      <c r="Z716" s="30"/>
      <c r="AA716" s="67"/>
      <c r="AB716" s="30"/>
      <c r="AC716" s="30"/>
      <c r="AD716" s="30"/>
      <c r="AE716" s="67"/>
      <c r="AF716" s="30"/>
      <c r="AG716" s="30"/>
      <c r="AH716" s="30"/>
      <c r="AI716" s="30"/>
      <c r="AJ716" s="30"/>
      <c r="AK716" s="30"/>
      <c r="AL716" s="30"/>
      <c r="AM716" s="30"/>
      <c r="AN716" s="30"/>
      <c r="AO716" s="5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</row>
    <row r="717" spans="1:61" ht="15.5" x14ac:dyDescent="0.35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58"/>
      <c r="Z717" s="30"/>
      <c r="AA717" s="67"/>
      <c r="AB717" s="30"/>
      <c r="AC717" s="30"/>
      <c r="AD717" s="30"/>
      <c r="AE717" s="67"/>
      <c r="AF717" s="30"/>
      <c r="AG717" s="30"/>
      <c r="AH717" s="30"/>
      <c r="AI717" s="30"/>
      <c r="AJ717" s="30"/>
      <c r="AK717" s="30"/>
      <c r="AL717" s="30"/>
      <c r="AM717" s="30"/>
      <c r="AN717" s="30"/>
      <c r="AO717" s="5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</row>
    <row r="718" spans="1:61" ht="15.5" x14ac:dyDescent="0.35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58"/>
      <c r="Z718" s="30"/>
      <c r="AA718" s="67"/>
      <c r="AB718" s="30"/>
      <c r="AC718" s="30"/>
      <c r="AD718" s="30"/>
      <c r="AE718" s="67"/>
      <c r="AF718" s="30"/>
      <c r="AG718" s="30"/>
      <c r="AH718" s="30"/>
      <c r="AI718" s="30"/>
      <c r="AJ718" s="30"/>
      <c r="AK718" s="30"/>
      <c r="AL718" s="30"/>
      <c r="AM718" s="30"/>
      <c r="AN718" s="30"/>
      <c r="AO718" s="5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</row>
    <row r="719" spans="1:61" ht="15.5" x14ac:dyDescent="0.35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58"/>
      <c r="Z719" s="30"/>
      <c r="AA719" s="67"/>
      <c r="AB719" s="30"/>
      <c r="AC719" s="30"/>
      <c r="AD719" s="30"/>
      <c r="AE719" s="67"/>
      <c r="AF719" s="30"/>
      <c r="AG719" s="30"/>
      <c r="AH719" s="30"/>
      <c r="AI719" s="30"/>
      <c r="AJ719" s="30"/>
      <c r="AK719" s="30"/>
      <c r="AL719" s="30"/>
      <c r="AM719" s="30"/>
      <c r="AN719" s="30"/>
      <c r="AO719" s="5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</row>
    <row r="720" spans="1:61" ht="15.5" x14ac:dyDescent="0.35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58"/>
      <c r="Z720" s="30"/>
      <c r="AA720" s="67"/>
      <c r="AB720" s="30"/>
      <c r="AC720" s="30"/>
      <c r="AD720" s="30"/>
      <c r="AE720" s="67"/>
      <c r="AF720" s="30"/>
      <c r="AG720" s="30"/>
      <c r="AH720" s="30"/>
      <c r="AI720" s="30"/>
      <c r="AJ720" s="30"/>
      <c r="AK720" s="30"/>
      <c r="AL720" s="30"/>
      <c r="AM720" s="30"/>
      <c r="AN720" s="30"/>
      <c r="AO720" s="5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</row>
    <row r="721" spans="1:61" ht="15.5" x14ac:dyDescent="0.35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58"/>
      <c r="Z721" s="30"/>
      <c r="AA721" s="67"/>
      <c r="AB721" s="30"/>
      <c r="AC721" s="30"/>
      <c r="AD721" s="30"/>
      <c r="AE721" s="67"/>
      <c r="AF721" s="30"/>
      <c r="AG721" s="30"/>
      <c r="AH721" s="30"/>
      <c r="AI721" s="30"/>
      <c r="AJ721" s="30"/>
      <c r="AK721" s="30"/>
      <c r="AL721" s="30"/>
      <c r="AM721" s="30"/>
      <c r="AN721" s="30"/>
      <c r="AO721" s="5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</row>
    <row r="722" spans="1:61" ht="15.5" x14ac:dyDescent="0.3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58"/>
      <c r="Z722" s="30"/>
      <c r="AA722" s="67"/>
      <c r="AB722" s="30"/>
      <c r="AC722" s="30"/>
      <c r="AD722" s="30"/>
      <c r="AE722" s="67"/>
      <c r="AF722" s="30"/>
      <c r="AG722" s="30"/>
      <c r="AH722" s="30"/>
      <c r="AI722" s="30"/>
      <c r="AJ722" s="30"/>
      <c r="AK722" s="30"/>
      <c r="AL722" s="30"/>
      <c r="AM722" s="30"/>
      <c r="AN722" s="30"/>
      <c r="AO722" s="5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</row>
    <row r="723" spans="1:61" ht="15.5" x14ac:dyDescent="0.35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58"/>
      <c r="Z723" s="30"/>
      <c r="AA723" s="67"/>
      <c r="AB723" s="30"/>
      <c r="AC723" s="30"/>
      <c r="AD723" s="30"/>
      <c r="AE723" s="67"/>
      <c r="AF723" s="30"/>
      <c r="AG723" s="30"/>
      <c r="AH723" s="30"/>
      <c r="AI723" s="30"/>
      <c r="AJ723" s="30"/>
      <c r="AK723" s="30"/>
      <c r="AL723" s="30"/>
      <c r="AM723" s="30"/>
      <c r="AN723" s="30"/>
      <c r="AO723" s="5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</row>
    <row r="724" spans="1:61" ht="15.5" x14ac:dyDescent="0.35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58"/>
      <c r="Z724" s="30"/>
      <c r="AA724" s="67"/>
      <c r="AB724" s="30"/>
      <c r="AC724" s="30"/>
      <c r="AD724" s="30"/>
      <c r="AE724" s="67"/>
      <c r="AF724" s="30"/>
      <c r="AG724" s="30"/>
      <c r="AH724" s="30"/>
      <c r="AI724" s="30"/>
      <c r="AJ724" s="30"/>
      <c r="AK724" s="30"/>
      <c r="AL724" s="30"/>
      <c r="AM724" s="30"/>
      <c r="AN724" s="30"/>
      <c r="AO724" s="5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</row>
    <row r="725" spans="1:61" ht="15.5" x14ac:dyDescent="0.3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58"/>
      <c r="Z725" s="30"/>
      <c r="AA725" s="67"/>
      <c r="AB725" s="30"/>
      <c r="AC725" s="30"/>
      <c r="AD725" s="30"/>
      <c r="AE725" s="67"/>
      <c r="AF725" s="30"/>
      <c r="AG725" s="30"/>
      <c r="AH725" s="30"/>
      <c r="AI725" s="30"/>
      <c r="AJ725" s="30"/>
      <c r="AK725" s="30"/>
      <c r="AL725" s="30"/>
      <c r="AM725" s="30"/>
      <c r="AN725" s="30"/>
      <c r="AO725" s="5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</row>
    <row r="726" spans="1:61" ht="15.5" x14ac:dyDescent="0.35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58"/>
      <c r="Z726" s="30"/>
      <c r="AA726" s="67"/>
      <c r="AB726" s="30"/>
      <c r="AC726" s="30"/>
      <c r="AD726" s="30"/>
      <c r="AE726" s="67"/>
      <c r="AF726" s="30"/>
      <c r="AG726" s="30"/>
      <c r="AH726" s="30"/>
      <c r="AI726" s="30"/>
      <c r="AJ726" s="30"/>
      <c r="AK726" s="30"/>
      <c r="AL726" s="30"/>
      <c r="AM726" s="30"/>
      <c r="AN726" s="30"/>
      <c r="AO726" s="5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</row>
    <row r="727" spans="1:61" ht="15.5" x14ac:dyDescent="0.35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58"/>
      <c r="Z727" s="30"/>
      <c r="AA727" s="67"/>
      <c r="AB727" s="30"/>
      <c r="AC727" s="30"/>
      <c r="AD727" s="30"/>
      <c r="AE727" s="67"/>
      <c r="AF727" s="30"/>
      <c r="AG727" s="30"/>
      <c r="AH727" s="30"/>
      <c r="AI727" s="30"/>
      <c r="AJ727" s="30"/>
      <c r="AK727" s="30"/>
      <c r="AL727" s="30"/>
      <c r="AM727" s="30"/>
      <c r="AN727" s="30"/>
      <c r="AO727" s="5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</row>
    <row r="728" spans="1:61" ht="15.5" x14ac:dyDescent="0.35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58"/>
      <c r="Z728" s="30"/>
      <c r="AA728" s="67"/>
      <c r="AB728" s="30"/>
      <c r="AC728" s="30"/>
      <c r="AD728" s="30"/>
      <c r="AE728" s="67"/>
      <c r="AF728" s="30"/>
      <c r="AG728" s="30"/>
      <c r="AH728" s="30"/>
      <c r="AI728" s="30"/>
      <c r="AJ728" s="30"/>
      <c r="AK728" s="30"/>
      <c r="AL728" s="30"/>
      <c r="AM728" s="30"/>
      <c r="AN728" s="30"/>
      <c r="AO728" s="5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</row>
    <row r="729" spans="1:61" ht="15.5" x14ac:dyDescent="0.3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58"/>
      <c r="Z729" s="30"/>
      <c r="AA729" s="67"/>
      <c r="AB729" s="30"/>
      <c r="AC729" s="30"/>
      <c r="AD729" s="30"/>
      <c r="AE729" s="67"/>
      <c r="AF729" s="30"/>
      <c r="AG729" s="30"/>
      <c r="AH729" s="30"/>
      <c r="AI729" s="30"/>
      <c r="AJ729" s="30"/>
      <c r="AK729" s="30"/>
      <c r="AL729" s="30"/>
      <c r="AM729" s="30"/>
      <c r="AN729" s="30"/>
      <c r="AO729" s="5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</row>
    <row r="730" spans="1:61" ht="15.5" x14ac:dyDescent="0.35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58"/>
      <c r="Z730" s="30"/>
      <c r="AA730" s="67"/>
      <c r="AB730" s="30"/>
      <c r="AC730" s="30"/>
      <c r="AD730" s="30"/>
      <c r="AE730" s="67"/>
      <c r="AF730" s="30"/>
      <c r="AG730" s="30"/>
      <c r="AH730" s="30"/>
      <c r="AI730" s="30"/>
      <c r="AJ730" s="30"/>
      <c r="AK730" s="30"/>
      <c r="AL730" s="30"/>
      <c r="AM730" s="30"/>
      <c r="AN730" s="30"/>
      <c r="AO730" s="5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</row>
    <row r="731" spans="1:61" ht="15.5" x14ac:dyDescent="0.35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58"/>
      <c r="Z731" s="30"/>
      <c r="AA731" s="67"/>
      <c r="AB731" s="30"/>
      <c r="AC731" s="30"/>
      <c r="AD731" s="30"/>
      <c r="AE731" s="67"/>
      <c r="AF731" s="30"/>
      <c r="AG731" s="30"/>
      <c r="AH731" s="30"/>
      <c r="AI731" s="30"/>
      <c r="AJ731" s="30"/>
      <c r="AK731" s="30"/>
      <c r="AL731" s="30"/>
      <c r="AM731" s="30"/>
      <c r="AN731" s="30"/>
      <c r="AO731" s="5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</row>
    <row r="732" spans="1:61" ht="15.5" x14ac:dyDescent="0.35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58"/>
      <c r="Z732" s="30"/>
      <c r="AA732" s="67"/>
      <c r="AB732" s="30"/>
      <c r="AC732" s="30"/>
      <c r="AD732" s="30"/>
      <c r="AE732" s="67"/>
      <c r="AF732" s="30"/>
      <c r="AG732" s="30"/>
      <c r="AH732" s="30"/>
      <c r="AI732" s="30"/>
      <c r="AJ732" s="30"/>
      <c r="AK732" s="30"/>
      <c r="AL732" s="30"/>
      <c r="AM732" s="30"/>
      <c r="AN732" s="30"/>
      <c r="AO732" s="5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</row>
    <row r="733" spans="1:61" ht="15.5" x14ac:dyDescent="0.35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58"/>
      <c r="Z733" s="30"/>
      <c r="AA733" s="67"/>
      <c r="AB733" s="30"/>
      <c r="AC733" s="30"/>
      <c r="AD733" s="30"/>
      <c r="AE733" s="67"/>
      <c r="AF733" s="30"/>
      <c r="AG733" s="30"/>
      <c r="AH733" s="30"/>
      <c r="AI733" s="30"/>
      <c r="AJ733" s="30"/>
      <c r="AK733" s="30"/>
      <c r="AL733" s="30"/>
      <c r="AM733" s="30"/>
      <c r="AN733" s="30"/>
      <c r="AO733" s="5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</row>
    <row r="734" spans="1:61" ht="15.5" x14ac:dyDescent="0.35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58"/>
      <c r="Z734" s="30"/>
      <c r="AA734" s="67"/>
      <c r="AB734" s="30"/>
      <c r="AC734" s="30"/>
      <c r="AD734" s="30"/>
      <c r="AE734" s="67"/>
      <c r="AF734" s="30"/>
      <c r="AG734" s="30"/>
      <c r="AH734" s="30"/>
      <c r="AI734" s="30"/>
      <c r="AJ734" s="30"/>
      <c r="AK734" s="30"/>
      <c r="AL734" s="30"/>
      <c r="AM734" s="30"/>
      <c r="AN734" s="30"/>
      <c r="AO734" s="5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</row>
    <row r="735" spans="1:61" ht="15.5" x14ac:dyDescent="0.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58"/>
      <c r="Z735" s="30"/>
      <c r="AA735" s="67"/>
      <c r="AB735" s="30"/>
      <c r="AC735" s="30"/>
      <c r="AD735" s="30"/>
      <c r="AE735" s="67"/>
      <c r="AF735" s="30"/>
      <c r="AG735" s="30"/>
      <c r="AH735" s="30"/>
      <c r="AI735" s="30"/>
      <c r="AJ735" s="30"/>
      <c r="AK735" s="30"/>
      <c r="AL735" s="30"/>
      <c r="AM735" s="30"/>
      <c r="AN735" s="30"/>
      <c r="AO735" s="5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</row>
    <row r="736" spans="1:61" ht="15.5" x14ac:dyDescent="0.3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58"/>
      <c r="Z736" s="30"/>
      <c r="AA736" s="67"/>
      <c r="AB736" s="30"/>
      <c r="AC736" s="30"/>
      <c r="AD736" s="30"/>
      <c r="AE736" s="67"/>
      <c r="AF736" s="30"/>
      <c r="AG736" s="30"/>
      <c r="AH736" s="30"/>
      <c r="AI736" s="30"/>
      <c r="AJ736" s="30"/>
      <c r="AK736" s="30"/>
      <c r="AL736" s="30"/>
      <c r="AM736" s="30"/>
      <c r="AN736" s="30"/>
      <c r="AO736" s="5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</row>
    <row r="737" spans="1:61" ht="15.5" x14ac:dyDescent="0.35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58"/>
      <c r="Z737" s="30"/>
      <c r="AA737" s="67"/>
      <c r="AB737" s="30"/>
      <c r="AC737" s="30"/>
      <c r="AD737" s="30"/>
      <c r="AE737" s="67"/>
      <c r="AF737" s="30"/>
      <c r="AG737" s="30"/>
      <c r="AH737" s="30"/>
      <c r="AI737" s="30"/>
      <c r="AJ737" s="30"/>
      <c r="AK737" s="30"/>
      <c r="AL737" s="30"/>
      <c r="AM737" s="30"/>
      <c r="AN737" s="30"/>
      <c r="AO737" s="5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</row>
    <row r="738" spans="1:61" ht="15.5" x14ac:dyDescent="0.35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58"/>
      <c r="Z738" s="30"/>
      <c r="AA738" s="67"/>
      <c r="AB738" s="30"/>
      <c r="AC738" s="30"/>
      <c r="AD738" s="30"/>
      <c r="AE738" s="67"/>
      <c r="AF738" s="30"/>
      <c r="AG738" s="30"/>
      <c r="AH738" s="30"/>
      <c r="AI738" s="30"/>
      <c r="AJ738" s="30"/>
      <c r="AK738" s="30"/>
      <c r="AL738" s="30"/>
      <c r="AM738" s="30"/>
      <c r="AN738" s="30"/>
      <c r="AO738" s="5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</row>
    <row r="739" spans="1:61" ht="15.5" x14ac:dyDescent="0.35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58"/>
      <c r="Z739" s="30"/>
      <c r="AA739" s="67"/>
      <c r="AB739" s="30"/>
      <c r="AC739" s="30"/>
      <c r="AD739" s="30"/>
      <c r="AE739" s="67"/>
      <c r="AF739" s="30"/>
      <c r="AG739" s="30"/>
      <c r="AH739" s="30"/>
      <c r="AI739" s="30"/>
      <c r="AJ739" s="30"/>
      <c r="AK739" s="30"/>
      <c r="AL739" s="30"/>
      <c r="AM739" s="30"/>
      <c r="AN739" s="30"/>
      <c r="AO739" s="5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</row>
    <row r="740" spans="1:61" ht="15.5" x14ac:dyDescent="0.35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58"/>
      <c r="Z740" s="30"/>
      <c r="AA740" s="67"/>
      <c r="AB740" s="30"/>
      <c r="AC740" s="30"/>
      <c r="AD740" s="30"/>
      <c r="AE740" s="67"/>
      <c r="AF740" s="30"/>
      <c r="AG740" s="30"/>
      <c r="AH740" s="30"/>
      <c r="AI740" s="30"/>
      <c r="AJ740" s="30"/>
      <c r="AK740" s="30"/>
      <c r="AL740" s="30"/>
      <c r="AM740" s="30"/>
      <c r="AN740" s="30"/>
      <c r="AO740" s="5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</row>
    <row r="741" spans="1:61" ht="15.5" x14ac:dyDescent="0.35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58"/>
      <c r="Z741" s="30"/>
      <c r="AA741" s="67"/>
      <c r="AB741" s="30"/>
      <c r="AC741" s="30"/>
      <c r="AD741" s="30"/>
      <c r="AE741" s="67"/>
      <c r="AF741" s="30"/>
      <c r="AG741" s="30"/>
      <c r="AH741" s="30"/>
      <c r="AI741" s="30"/>
      <c r="AJ741" s="30"/>
      <c r="AK741" s="30"/>
      <c r="AL741" s="30"/>
      <c r="AM741" s="30"/>
      <c r="AN741" s="30"/>
      <c r="AO741" s="5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</row>
    <row r="742" spans="1:61" ht="15.5" x14ac:dyDescent="0.35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58"/>
      <c r="Z742" s="30"/>
      <c r="AA742" s="67"/>
      <c r="AB742" s="30"/>
      <c r="AC742" s="30"/>
      <c r="AD742" s="30"/>
      <c r="AE742" s="67"/>
      <c r="AF742" s="30"/>
      <c r="AG742" s="30"/>
      <c r="AH742" s="30"/>
      <c r="AI742" s="30"/>
      <c r="AJ742" s="30"/>
      <c r="AK742" s="30"/>
      <c r="AL742" s="30"/>
      <c r="AM742" s="30"/>
      <c r="AN742" s="30"/>
      <c r="AO742" s="5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</row>
    <row r="743" spans="1:61" ht="15.5" x14ac:dyDescent="0.3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58"/>
      <c r="Z743" s="30"/>
      <c r="AA743" s="67"/>
      <c r="AB743" s="30"/>
      <c r="AC743" s="30"/>
      <c r="AD743" s="30"/>
      <c r="AE743" s="67"/>
      <c r="AF743" s="30"/>
      <c r="AG743" s="30"/>
      <c r="AH743" s="30"/>
      <c r="AI743" s="30"/>
      <c r="AJ743" s="30"/>
      <c r="AK743" s="30"/>
      <c r="AL743" s="30"/>
      <c r="AM743" s="30"/>
      <c r="AN743" s="30"/>
      <c r="AO743" s="5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</row>
    <row r="744" spans="1:61" ht="15.5" x14ac:dyDescent="0.35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58"/>
      <c r="Z744" s="30"/>
      <c r="AA744" s="67"/>
      <c r="AB744" s="30"/>
      <c r="AC744" s="30"/>
      <c r="AD744" s="30"/>
      <c r="AE744" s="67"/>
      <c r="AF744" s="30"/>
      <c r="AG744" s="30"/>
      <c r="AH744" s="30"/>
      <c r="AI744" s="30"/>
      <c r="AJ744" s="30"/>
      <c r="AK744" s="30"/>
      <c r="AL744" s="30"/>
      <c r="AM744" s="30"/>
      <c r="AN744" s="30"/>
      <c r="AO744" s="5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</row>
    <row r="745" spans="1:61" ht="15.5" x14ac:dyDescent="0.3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58"/>
      <c r="Z745" s="30"/>
      <c r="AA745" s="67"/>
      <c r="AB745" s="30"/>
      <c r="AC745" s="30"/>
      <c r="AD745" s="30"/>
      <c r="AE745" s="67"/>
      <c r="AF745" s="30"/>
      <c r="AG745" s="30"/>
      <c r="AH745" s="30"/>
      <c r="AI745" s="30"/>
      <c r="AJ745" s="30"/>
      <c r="AK745" s="30"/>
      <c r="AL745" s="30"/>
      <c r="AM745" s="30"/>
      <c r="AN745" s="30"/>
      <c r="AO745" s="5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</row>
    <row r="746" spans="1:61" ht="15.5" x14ac:dyDescent="0.35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58"/>
      <c r="Z746" s="30"/>
      <c r="AA746" s="67"/>
      <c r="AB746" s="30"/>
      <c r="AC746" s="30"/>
      <c r="AD746" s="30"/>
      <c r="AE746" s="67"/>
      <c r="AF746" s="30"/>
      <c r="AG746" s="30"/>
      <c r="AH746" s="30"/>
      <c r="AI746" s="30"/>
      <c r="AJ746" s="30"/>
      <c r="AK746" s="30"/>
      <c r="AL746" s="30"/>
      <c r="AM746" s="30"/>
      <c r="AN746" s="30"/>
      <c r="AO746" s="5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</row>
    <row r="747" spans="1:61" ht="15.5" x14ac:dyDescent="0.35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58"/>
      <c r="Z747" s="30"/>
      <c r="AA747" s="67"/>
      <c r="AB747" s="30"/>
      <c r="AC747" s="30"/>
      <c r="AD747" s="30"/>
      <c r="AE747" s="67"/>
      <c r="AF747" s="30"/>
      <c r="AG747" s="30"/>
      <c r="AH747" s="30"/>
      <c r="AI747" s="30"/>
      <c r="AJ747" s="30"/>
      <c r="AK747" s="30"/>
      <c r="AL747" s="30"/>
      <c r="AM747" s="30"/>
      <c r="AN747" s="30"/>
      <c r="AO747" s="5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</row>
    <row r="748" spans="1:61" ht="15.5" x14ac:dyDescent="0.35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58"/>
      <c r="Z748" s="30"/>
      <c r="AA748" s="67"/>
      <c r="AB748" s="30"/>
      <c r="AC748" s="30"/>
      <c r="AD748" s="30"/>
      <c r="AE748" s="67"/>
      <c r="AF748" s="30"/>
      <c r="AG748" s="30"/>
      <c r="AH748" s="30"/>
      <c r="AI748" s="30"/>
      <c r="AJ748" s="30"/>
      <c r="AK748" s="30"/>
      <c r="AL748" s="30"/>
      <c r="AM748" s="30"/>
      <c r="AN748" s="30"/>
      <c r="AO748" s="5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</row>
    <row r="749" spans="1:61" ht="15.5" x14ac:dyDescent="0.35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58"/>
      <c r="Z749" s="30"/>
      <c r="AA749" s="67"/>
      <c r="AB749" s="30"/>
      <c r="AC749" s="30"/>
      <c r="AD749" s="30"/>
      <c r="AE749" s="67"/>
      <c r="AF749" s="30"/>
      <c r="AG749" s="30"/>
      <c r="AH749" s="30"/>
      <c r="AI749" s="30"/>
      <c r="AJ749" s="30"/>
      <c r="AK749" s="30"/>
      <c r="AL749" s="30"/>
      <c r="AM749" s="30"/>
      <c r="AN749" s="30"/>
      <c r="AO749" s="5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</row>
    <row r="750" spans="1:61" ht="15.5" x14ac:dyDescent="0.3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58"/>
      <c r="Z750" s="30"/>
      <c r="AA750" s="67"/>
      <c r="AB750" s="30"/>
      <c r="AC750" s="30"/>
      <c r="AD750" s="30"/>
      <c r="AE750" s="67"/>
      <c r="AF750" s="30"/>
      <c r="AG750" s="30"/>
      <c r="AH750" s="30"/>
      <c r="AI750" s="30"/>
      <c r="AJ750" s="30"/>
      <c r="AK750" s="30"/>
      <c r="AL750" s="30"/>
      <c r="AM750" s="30"/>
      <c r="AN750" s="30"/>
      <c r="AO750" s="5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</row>
    <row r="751" spans="1:61" ht="15.5" x14ac:dyDescent="0.35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58"/>
      <c r="Z751" s="30"/>
      <c r="AA751" s="67"/>
      <c r="AB751" s="30"/>
      <c r="AC751" s="30"/>
      <c r="AD751" s="30"/>
      <c r="AE751" s="67"/>
      <c r="AF751" s="30"/>
      <c r="AG751" s="30"/>
      <c r="AH751" s="30"/>
      <c r="AI751" s="30"/>
      <c r="AJ751" s="30"/>
      <c r="AK751" s="30"/>
      <c r="AL751" s="30"/>
      <c r="AM751" s="30"/>
      <c r="AN751" s="30"/>
      <c r="AO751" s="5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</row>
    <row r="752" spans="1:61" ht="15.5" x14ac:dyDescent="0.35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58"/>
      <c r="Z752" s="30"/>
      <c r="AA752" s="67"/>
      <c r="AB752" s="30"/>
      <c r="AC752" s="30"/>
      <c r="AD752" s="30"/>
      <c r="AE752" s="67"/>
      <c r="AF752" s="30"/>
      <c r="AG752" s="30"/>
      <c r="AH752" s="30"/>
      <c r="AI752" s="30"/>
      <c r="AJ752" s="30"/>
      <c r="AK752" s="30"/>
      <c r="AL752" s="30"/>
      <c r="AM752" s="30"/>
      <c r="AN752" s="30"/>
      <c r="AO752" s="5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</row>
    <row r="753" spans="1:61" ht="15.5" x14ac:dyDescent="0.35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58"/>
      <c r="Z753" s="30"/>
      <c r="AA753" s="67"/>
      <c r="AB753" s="30"/>
      <c r="AC753" s="30"/>
      <c r="AD753" s="30"/>
      <c r="AE753" s="67"/>
      <c r="AF753" s="30"/>
      <c r="AG753" s="30"/>
      <c r="AH753" s="30"/>
      <c r="AI753" s="30"/>
      <c r="AJ753" s="30"/>
      <c r="AK753" s="30"/>
      <c r="AL753" s="30"/>
      <c r="AM753" s="30"/>
      <c r="AN753" s="30"/>
      <c r="AO753" s="5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</row>
    <row r="754" spans="1:61" ht="15.5" x14ac:dyDescent="0.35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58"/>
      <c r="Z754" s="30"/>
      <c r="AA754" s="67"/>
      <c r="AB754" s="30"/>
      <c r="AC754" s="30"/>
      <c r="AD754" s="30"/>
      <c r="AE754" s="67"/>
      <c r="AF754" s="30"/>
      <c r="AG754" s="30"/>
      <c r="AH754" s="30"/>
      <c r="AI754" s="30"/>
      <c r="AJ754" s="30"/>
      <c r="AK754" s="30"/>
      <c r="AL754" s="30"/>
      <c r="AM754" s="30"/>
      <c r="AN754" s="30"/>
      <c r="AO754" s="5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</row>
    <row r="755" spans="1:61" ht="15.5" x14ac:dyDescent="0.3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58"/>
      <c r="Z755" s="30"/>
      <c r="AA755" s="67"/>
      <c r="AB755" s="30"/>
      <c r="AC755" s="30"/>
      <c r="AD755" s="30"/>
      <c r="AE755" s="67"/>
      <c r="AF755" s="30"/>
      <c r="AG755" s="30"/>
      <c r="AH755" s="30"/>
      <c r="AI755" s="30"/>
      <c r="AJ755" s="30"/>
      <c r="AK755" s="30"/>
      <c r="AL755" s="30"/>
      <c r="AM755" s="30"/>
      <c r="AN755" s="30"/>
      <c r="AO755" s="5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</row>
    <row r="756" spans="1:61" ht="15.5" x14ac:dyDescent="0.35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58"/>
      <c r="Z756" s="30"/>
      <c r="AA756" s="67"/>
      <c r="AB756" s="30"/>
      <c r="AC756" s="30"/>
      <c r="AD756" s="30"/>
      <c r="AE756" s="67"/>
      <c r="AF756" s="30"/>
      <c r="AG756" s="30"/>
      <c r="AH756" s="30"/>
      <c r="AI756" s="30"/>
      <c r="AJ756" s="30"/>
      <c r="AK756" s="30"/>
      <c r="AL756" s="30"/>
      <c r="AM756" s="30"/>
      <c r="AN756" s="30"/>
      <c r="AO756" s="5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</row>
    <row r="757" spans="1:61" ht="15.5" x14ac:dyDescent="0.35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58"/>
      <c r="Z757" s="30"/>
      <c r="AA757" s="67"/>
      <c r="AB757" s="30"/>
      <c r="AC757" s="30"/>
      <c r="AD757" s="30"/>
      <c r="AE757" s="67"/>
      <c r="AF757" s="30"/>
      <c r="AG757" s="30"/>
      <c r="AH757" s="30"/>
      <c r="AI757" s="30"/>
      <c r="AJ757" s="30"/>
      <c r="AK757" s="30"/>
      <c r="AL757" s="30"/>
      <c r="AM757" s="30"/>
      <c r="AN757" s="30"/>
      <c r="AO757" s="5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</row>
    <row r="758" spans="1:61" ht="15.5" x14ac:dyDescent="0.35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58"/>
      <c r="Z758" s="30"/>
      <c r="AA758" s="67"/>
      <c r="AB758" s="30"/>
      <c r="AC758" s="30"/>
      <c r="AD758" s="30"/>
      <c r="AE758" s="67"/>
      <c r="AF758" s="30"/>
      <c r="AG758" s="30"/>
      <c r="AH758" s="30"/>
      <c r="AI758" s="30"/>
      <c r="AJ758" s="30"/>
      <c r="AK758" s="30"/>
      <c r="AL758" s="30"/>
      <c r="AM758" s="30"/>
      <c r="AN758" s="30"/>
      <c r="AO758" s="5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</row>
    <row r="759" spans="1:61" ht="15.5" x14ac:dyDescent="0.35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58"/>
      <c r="Z759" s="30"/>
      <c r="AA759" s="67"/>
      <c r="AB759" s="30"/>
      <c r="AC759" s="30"/>
      <c r="AD759" s="30"/>
      <c r="AE759" s="67"/>
      <c r="AF759" s="30"/>
      <c r="AG759" s="30"/>
      <c r="AH759" s="30"/>
      <c r="AI759" s="30"/>
      <c r="AJ759" s="30"/>
      <c r="AK759" s="30"/>
      <c r="AL759" s="30"/>
      <c r="AM759" s="30"/>
      <c r="AN759" s="30"/>
      <c r="AO759" s="5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</row>
    <row r="760" spans="1:61" ht="15.5" x14ac:dyDescent="0.35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58"/>
      <c r="Z760" s="30"/>
      <c r="AA760" s="67"/>
      <c r="AB760" s="30"/>
      <c r="AC760" s="30"/>
      <c r="AD760" s="30"/>
      <c r="AE760" s="67"/>
      <c r="AF760" s="30"/>
      <c r="AG760" s="30"/>
      <c r="AH760" s="30"/>
      <c r="AI760" s="30"/>
      <c r="AJ760" s="30"/>
      <c r="AK760" s="30"/>
      <c r="AL760" s="30"/>
      <c r="AM760" s="30"/>
      <c r="AN760" s="30"/>
      <c r="AO760" s="5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</row>
    <row r="761" spans="1:61" ht="15.5" x14ac:dyDescent="0.35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58"/>
      <c r="Z761" s="30"/>
      <c r="AA761" s="67"/>
      <c r="AB761" s="30"/>
      <c r="AC761" s="30"/>
      <c r="AD761" s="30"/>
      <c r="AE761" s="67"/>
      <c r="AF761" s="30"/>
      <c r="AG761" s="30"/>
      <c r="AH761" s="30"/>
      <c r="AI761" s="30"/>
      <c r="AJ761" s="30"/>
      <c r="AK761" s="30"/>
      <c r="AL761" s="30"/>
      <c r="AM761" s="30"/>
      <c r="AN761" s="30"/>
      <c r="AO761" s="5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</row>
    <row r="762" spans="1:61" ht="15.5" x14ac:dyDescent="0.35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58"/>
      <c r="Z762" s="30"/>
      <c r="AA762" s="67"/>
      <c r="AB762" s="30"/>
      <c r="AC762" s="30"/>
      <c r="AD762" s="30"/>
      <c r="AE762" s="67"/>
      <c r="AF762" s="30"/>
      <c r="AG762" s="30"/>
      <c r="AH762" s="30"/>
      <c r="AI762" s="30"/>
      <c r="AJ762" s="30"/>
      <c r="AK762" s="30"/>
      <c r="AL762" s="30"/>
      <c r="AM762" s="30"/>
      <c r="AN762" s="30"/>
      <c r="AO762" s="5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</row>
    <row r="763" spans="1:61" ht="15.5" x14ac:dyDescent="0.35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58"/>
      <c r="Z763" s="30"/>
      <c r="AA763" s="67"/>
      <c r="AB763" s="30"/>
      <c r="AC763" s="30"/>
      <c r="AD763" s="30"/>
      <c r="AE763" s="67"/>
      <c r="AF763" s="30"/>
      <c r="AG763" s="30"/>
      <c r="AH763" s="30"/>
      <c r="AI763" s="30"/>
      <c r="AJ763" s="30"/>
      <c r="AK763" s="30"/>
      <c r="AL763" s="30"/>
      <c r="AM763" s="30"/>
      <c r="AN763" s="30"/>
      <c r="AO763" s="5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</row>
    <row r="764" spans="1:61" ht="15.5" x14ac:dyDescent="0.3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58"/>
      <c r="Z764" s="30"/>
      <c r="AA764" s="67"/>
      <c r="AB764" s="30"/>
      <c r="AC764" s="30"/>
      <c r="AD764" s="30"/>
      <c r="AE764" s="67"/>
      <c r="AF764" s="30"/>
      <c r="AG764" s="30"/>
      <c r="AH764" s="30"/>
      <c r="AI764" s="30"/>
      <c r="AJ764" s="30"/>
      <c r="AK764" s="30"/>
      <c r="AL764" s="30"/>
      <c r="AM764" s="30"/>
      <c r="AN764" s="30"/>
      <c r="AO764" s="5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</row>
    <row r="765" spans="1:61" ht="15.5" x14ac:dyDescent="0.3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58"/>
      <c r="Z765" s="30"/>
      <c r="AA765" s="67"/>
      <c r="AB765" s="30"/>
      <c r="AC765" s="30"/>
      <c r="AD765" s="30"/>
      <c r="AE765" s="67"/>
      <c r="AF765" s="30"/>
      <c r="AG765" s="30"/>
      <c r="AH765" s="30"/>
      <c r="AI765" s="30"/>
      <c r="AJ765" s="30"/>
      <c r="AK765" s="30"/>
      <c r="AL765" s="30"/>
      <c r="AM765" s="30"/>
      <c r="AN765" s="30"/>
      <c r="AO765" s="5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</row>
    <row r="766" spans="1:61" ht="15.5" x14ac:dyDescent="0.35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58"/>
      <c r="Z766" s="30"/>
      <c r="AA766" s="67"/>
      <c r="AB766" s="30"/>
      <c r="AC766" s="30"/>
      <c r="AD766" s="30"/>
      <c r="AE766" s="67"/>
      <c r="AF766" s="30"/>
      <c r="AG766" s="30"/>
      <c r="AH766" s="30"/>
      <c r="AI766" s="30"/>
      <c r="AJ766" s="30"/>
      <c r="AK766" s="30"/>
      <c r="AL766" s="30"/>
      <c r="AM766" s="30"/>
      <c r="AN766" s="30"/>
      <c r="AO766" s="5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</row>
    <row r="767" spans="1:61" ht="15.5" x14ac:dyDescent="0.35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58"/>
      <c r="Z767" s="30"/>
      <c r="AA767" s="67"/>
      <c r="AB767" s="30"/>
      <c r="AC767" s="30"/>
      <c r="AD767" s="30"/>
      <c r="AE767" s="67"/>
      <c r="AF767" s="30"/>
      <c r="AG767" s="30"/>
      <c r="AH767" s="30"/>
      <c r="AI767" s="30"/>
      <c r="AJ767" s="30"/>
      <c r="AK767" s="30"/>
      <c r="AL767" s="30"/>
      <c r="AM767" s="30"/>
      <c r="AN767" s="30"/>
      <c r="AO767" s="5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</row>
    <row r="768" spans="1:61" ht="15.5" x14ac:dyDescent="0.35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58"/>
      <c r="Z768" s="30"/>
      <c r="AA768" s="67"/>
      <c r="AB768" s="30"/>
      <c r="AC768" s="30"/>
      <c r="AD768" s="30"/>
      <c r="AE768" s="67"/>
      <c r="AF768" s="30"/>
      <c r="AG768" s="30"/>
      <c r="AH768" s="30"/>
      <c r="AI768" s="30"/>
      <c r="AJ768" s="30"/>
      <c r="AK768" s="30"/>
      <c r="AL768" s="30"/>
      <c r="AM768" s="30"/>
      <c r="AN768" s="30"/>
      <c r="AO768" s="5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</row>
    <row r="769" spans="1:61" ht="15.5" x14ac:dyDescent="0.35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58"/>
      <c r="Z769" s="30"/>
      <c r="AA769" s="67"/>
      <c r="AB769" s="30"/>
      <c r="AC769" s="30"/>
      <c r="AD769" s="30"/>
      <c r="AE769" s="67"/>
      <c r="AF769" s="30"/>
      <c r="AG769" s="30"/>
      <c r="AH769" s="30"/>
      <c r="AI769" s="30"/>
      <c r="AJ769" s="30"/>
      <c r="AK769" s="30"/>
      <c r="AL769" s="30"/>
      <c r="AM769" s="30"/>
      <c r="AN769" s="30"/>
      <c r="AO769" s="5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</row>
    <row r="770" spans="1:61" ht="15.5" x14ac:dyDescent="0.35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58"/>
      <c r="Z770" s="30"/>
      <c r="AA770" s="67"/>
      <c r="AB770" s="30"/>
      <c r="AC770" s="30"/>
      <c r="AD770" s="30"/>
      <c r="AE770" s="67"/>
      <c r="AF770" s="30"/>
      <c r="AG770" s="30"/>
      <c r="AH770" s="30"/>
      <c r="AI770" s="30"/>
      <c r="AJ770" s="30"/>
      <c r="AK770" s="30"/>
      <c r="AL770" s="30"/>
      <c r="AM770" s="30"/>
      <c r="AN770" s="30"/>
      <c r="AO770" s="5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</row>
    <row r="771" spans="1:61" ht="15.5" x14ac:dyDescent="0.35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58"/>
      <c r="Z771" s="30"/>
      <c r="AA771" s="67"/>
      <c r="AB771" s="30"/>
      <c r="AC771" s="30"/>
      <c r="AD771" s="30"/>
      <c r="AE771" s="67"/>
      <c r="AF771" s="30"/>
      <c r="AG771" s="30"/>
      <c r="AH771" s="30"/>
      <c r="AI771" s="30"/>
      <c r="AJ771" s="30"/>
      <c r="AK771" s="30"/>
      <c r="AL771" s="30"/>
      <c r="AM771" s="30"/>
      <c r="AN771" s="30"/>
      <c r="AO771" s="5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</row>
    <row r="772" spans="1:61" ht="15.5" x14ac:dyDescent="0.35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58"/>
      <c r="Z772" s="30"/>
      <c r="AA772" s="67"/>
      <c r="AB772" s="30"/>
      <c r="AC772" s="30"/>
      <c r="AD772" s="30"/>
      <c r="AE772" s="67"/>
      <c r="AF772" s="30"/>
      <c r="AG772" s="30"/>
      <c r="AH772" s="30"/>
      <c r="AI772" s="30"/>
      <c r="AJ772" s="30"/>
      <c r="AK772" s="30"/>
      <c r="AL772" s="30"/>
      <c r="AM772" s="30"/>
      <c r="AN772" s="30"/>
      <c r="AO772" s="5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</row>
    <row r="773" spans="1:61" ht="15.5" x14ac:dyDescent="0.35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58"/>
      <c r="Z773" s="30"/>
      <c r="AA773" s="67"/>
      <c r="AB773" s="30"/>
      <c r="AC773" s="30"/>
      <c r="AD773" s="30"/>
      <c r="AE773" s="67"/>
      <c r="AF773" s="30"/>
      <c r="AG773" s="30"/>
      <c r="AH773" s="30"/>
      <c r="AI773" s="30"/>
      <c r="AJ773" s="30"/>
      <c r="AK773" s="30"/>
      <c r="AL773" s="30"/>
      <c r="AM773" s="30"/>
      <c r="AN773" s="30"/>
      <c r="AO773" s="5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</row>
    <row r="774" spans="1:61" ht="15.5" x14ac:dyDescent="0.35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58"/>
      <c r="Z774" s="30"/>
      <c r="AA774" s="67"/>
      <c r="AB774" s="30"/>
      <c r="AC774" s="30"/>
      <c r="AD774" s="30"/>
      <c r="AE774" s="67"/>
      <c r="AF774" s="30"/>
      <c r="AG774" s="30"/>
      <c r="AH774" s="30"/>
      <c r="AI774" s="30"/>
      <c r="AJ774" s="30"/>
      <c r="AK774" s="30"/>
      <c r="AL774" s="30"/>
      <c r="AM774" s="30"/>
      <c r="AN774" s="30"/>
      <c r="AO774" s="5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</row>
    <row r="775" spans="1:61" ht="15.5" x14ac:dyDescent="0.3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58"/>
      <c r="Z775" s="30"/>
      <c r="AA775" s="67"/>
      <c r="AB775" s="30"/>
      <c r="AC775" s="30"/>
      <c r="AD775" s="30"/>
      <c r="AE775" s="67"/>
      <c r="AF775" s="30"/>
      <c r="AG775" s="30"/>
      <c r="AH775" s="30"/>
      <c r="AI775" s="30"/>
      <c r="AJ775" s="30"/>
      <c r="AK775" s="30"/>
      <c r="AL775" s="30"/>
      <c r="AM775" s="30"/>
      <c r="AN775" s="30"/>
      <c r="AO775" s="5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</row>
    <row r="776" spans="1:61" ht="15.5" x14ac:dyDescent="0.35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58"/>
      <c r="Z776" s="30"/>
      <c r="AA776" s="67"/>
      <c r="AB776" s="30"/>
      <c r="AC776" s="30"/>
      <c r="AD776" s="30"/>
      <c r="AE776" s="67"/>
      <c r="AF776" s="30"/>
      <c r="AG776" s="30"/>
      <c r="AH776" s="30"/>
      <c r="AI776" s="30"/>
      <c r="AJ776" s="30"/>
      <c r="AK776" s="30"/>
      <c r="AL776" s="30"/>
      <c r="AM776" s="30"/>
      <c r="AN776" s="30"/>
      <c r="AO776" s="5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</row>
    <row r="777" spans="1:61" ht="15.5" x14ac:dyDescent="0.35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58"/>
      <c r="Z777" s="30"/>
      <c r="AA777" s="67"/>
      <c r="AB777" s="30"/>
      <c r="AC777" s="30"/>
      <c r="AD777" s="30"/>
      <c r="AE777" s="67"/>
      <c r="AF777" s="30"/>
      <c r="AG777" s="30"/>
      <c r="AH777" s="30"/>
      <c r="AI777" s="30"/>
      <c r="AJ777" s="30"/>
      <c r="AK777" s="30"/>
      <c r="AL777" s="30"/>
      <c r="AM777" s="30"/>
      <c r="AN777" s="30"/>
      <c r="AO777" s="5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</row>
    <row r="778" spans="1:61" ht="15.5" x14ac:dyDescent="0.3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58"/>
      <c r="Z778" s="30"/>
      <c r="AA778" s="67"/>
      <c r="AB778" s="30"/>
      <c r="AC778" s="30"/>
      <c r="AD778" s="30"/>
      <c r="AE778" s="67"/>
      <c r="AF778" s="30"/>
      <c r="AG778" s="30"/>
      <c r="AH778" s="30"/>
      <c r="AI778" s="30"/>
      <c r="AJ778" s="30"/>
      <c r="AK778" s="30"/>
      <c r="AL778" s="30"/>
      <c r="AM778" s="30"/>
      <c r="AN778" s="30"/>
      <c r="AO778" s="5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</row>
    <row r="779" spans="1:61" ht="15.5" x14ac:dyDescent="0.35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58"/>
      <c r="Z779" s="30"/>
      <c r="AA779" s="67"/>
      <c r="AB779" s="30"/>
      <c r="AC779" s="30"/>
      <c r="AD779" s="30"/>
      <c r="AE779" s="67"/>
      <c r="AF779" s="30"/>
      <c r="AG779" s="30"/>
      <c r="AH779" s="30"/>
      <c r="AI779" s="30"/>
      <c r="AJ779" s="30"/>
      <c r="AK779" s="30"/>
      <c r="AL779" s="30"/>
      <c r="AM779" s="30"/>
      <c r="AN779" s="30"/>
      <c r="AO779" s="5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</row>
    <row r="780" spans="1:61" ht="15.5" x14ac:dyDescent="0.35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58"/>
      <c r="Z780" s="30"/>
      <c r="AA780" s="67"/>
      <c r="AB780" s="30"/>
      <c r="AC780" s="30"/>
      <c r="AD780" s="30"/>
      <c r="AE780" s="67"/>
      <c r="AF780" s="30"/>
      <c r="AG780" s="30"/>
      <c r="AH780" s="30"/>
      <c r="AI780" s="30"/>
      <c r="AJ780" s="30"/>
      <c r="AK780" s="30"/>
      <c r="AL780" s="30"/>
      <c r="AM780" s="30"/>
      <c r="AN780" s="30"/>
      <c r="AO780" s="5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</row>
    <row r="781" spans="1:61" ht="15.5" x14ac:dyDescent="0.35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58"/>
      <c r="Z781" s="30"/>
      <c r="AA781" s="67"/>
      <c r="AB781" s="30"/>
      <c r="AC781" s="30"/>
      <c r="AD781" s="30"/>
      <c r="AE781" s="67"/>
      <c r="AF781" s="30"/>
      <c r="AG781" s="30"/>
      <c r="AH781" s="30"/>
      <c r="AI781" s="30"/>
      <c r="AJ781" s="30"/>
      <c r="AK781" s="30"/>
      <c r="AL781" s="30"/>
      <c r="AM781" s="30"/>
      <c r="AN781" s="30"/>
      <c r="AO781" s="5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</row>
    <row r="782" spans="1:61" ht="15.5" x14ac:dyDescent="0.35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58"/>
      <c r="Z782" s="30"/>
      <c r="AA782" s="67"/>
      <c r="AB782" s="30"/>
      <c r="AC782" s="30"/>
      <c r="AD782" s="30"/>
      <c r="AE782" s="67"/>
      <c r="AF782" s="30"/>
      <c r="AG782" s="30"/>
      <c r="AH782" s="30"/>
      <c r="AI782" s="30"/>
      <c r="AJ782" s="30"/>
      <c r="AK782" s="30"/>
      <c r="AL782" s="30"/>
      <c r="AM782" s="30"/>
      <c r="AN782" s="30"/>
      <c r="AO782" s="5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</row>
    <row r="783" spans="1:61" ht="15.5" x14ac:dyDescent="0.35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58"/>
      <c r="Z783" s="30"/>
      <c r="AA783" s="67"/>
      <c r="AB783" s="30"/>
      <c r="AC783" s="30"/>
      <c r="AD783" s="30"/>
      <c r="AE783" s="67"/>
      <c r="AF783" s="30"/>
      <c r="AG783" s="30"/>
      <c r="AH783" s="30"/>
      <c r="AI783" s="30"/>
      <c r="AJ783" s="30"/>
      <c r="AK783" s="30"/>
      <c r="AL783" s="30"/>
      <c r="AM783" s="30"/>
      <c r="AN783" s="30"/>
      <c r="AO783" s="5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</row>
    <row r="784" spans="1:61" ht="15.5" x14ac:dyDescent="0.35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58"/>
      <c r="Z784" s="30"/>
      <c r="AA784" s="67"/>
      <c r="AB784" s="30"/>
      <c r="AC784" s="30"/>
      <c r="AD784" s="30"/>
      <c r="AE784" s="67"/>
      <c r="AF784" s="30"/>
      <c r="AG784" s="30"/>
      <c r="AH784" s="30"/>
      <c r="AI784" s="30"/>
      <c r="AJ784" s="30"/>
      <c r="AK784" s="30"/>
      <c r="AL784" s="30"/>
      <c r="AM784" s="30"/>
      <c r="AN784" s="30"/>
      <c r="AO784" s="5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</row>
    <row r="785" spans="1:61" ht="15.5" x14ac:dyDescent="0.3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58"/>
      <c r="Z785" s="30"/>
      <c r="AA785" s="67"/>
      <c r="AB785" s="30"/>
      <c r="AC785" s="30"/>
      <c r="AD785" s="30"/>
      <c r="AE785" s="67"/>
      <c r="AF785" s="30"/>
      <c r="AG785" s="30"/>
      <c r="AH785" s="30"/>
      <c r="AI785" s="30"/>
      <c r="AJ785" s="30"/>
      <c r="AK785" s="30"/>
      <c r="AL785" s="30"/>
      <c r="AM785" s="30"/>
      <c r="AN785" s="30"/>
      <c r="AO785" s="5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</row>
    <row r="786" spans="1:61" ht="15.5" x14ac:dyDescent="0.35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58"/>
      <c r="Z786" s="30"/>
      <c r="AA786" s="67"/>
      <c r="AB786" s="30"/>
      <c r="AC786" s="30"/>
      <c r="AD786" s="30"/>
      <c r="AE786" s="67"/>
      <c r="AF786" s="30"/>
      <c r="AG786" s="30"/>
      <c r="AH786" s="30"/>
      <c r="AI786" s="30"/>
      <c r="AJ786" s="30"/>
      <c r="AK786" s="30"/>
      <c r="AL786" s="30"/>
      <c r="AM786" s="30"/>
      <c r="AN786" s="30"/>
      <c r="AO786" s="5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</row>
    <row r="787" spans="1:61" ht="15.5" x14ac:dyDescent="0.35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58"/>
      <c r="Z787" s="30"/>
      <c r="AA787" s="67"/>
      <c r="AB787" s="30"/>
      <c r="AC787" s="30"/>
      <c r="AD787" s="30"/>
      <c r="AE787" s="67"/>
      <c r="AF787" s="30"/>
      <c r="AG787" s="30"/>
      <c r="AH787" s="30"/>
      <c r="AI787" s="30"/>
      <c r="AJ787" s="30"/>
      <c r="AK787" s="30"/>
      <c r="AL787" s="30"/>
      <c r="AM787" s="30"/>
      <c r="AN787" s="30"/>
      <c r="AO787" s="5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</row>
    <row r="788" spans="1:61" ht="15.5" x14ac:dyDescent="0.35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58"/>
      <c r="Z788" s="30"/>
      <c r="AA788" s="67"/>
      <c r="AB788" s="30"/>
      <c r="AC788" s="30"/>
      <c r="AD788" s="30"/>
      <c r="AE788" s="67"/>
      <c r="AF788" s="30"/>
      <c r="AG788" s="30"/>
      <c r="AH788" s="30"/>
      <c r="AI788" s="30"/>
      <c r="AJ788" s="30"/>
      <c r="AK788" s="30"/>
      <c r="AL788" s="30"/>
      <c r="AM788" s="30"/>
      <c r="AN788" s="30"/>
      <c r="AO788" s="5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</row>
    <row r="789" spans="1:61" ht="15.5" x14ac:dyDescent="0.35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58"/>
      <c r="Z789" s="30"/>
      <c r="AA789" s="67"/>
      <c r="AB789" s="30"/>
      <c r="AC789" s="30"/>
      <c r="AD789" s="30"/>
      <c r="AE789" s="67"/>
      <c r="AF789" s="30"/>
      <c r="AG789" s="30"/>
      <c r="AH789" s="30"/>
      <c r="AI789" s="30"/>
      <c r="AJ789" s="30"/>
      <c r="AK789" s="30"/>
      <c r="AL789" s="30"/>
      <c r="AM789" s="30"/>
      <c r="AN789" s="30"/>
      <c r="AO789" s="5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</row>
    <row r="790" spans="1:61" ht="15.5" x14ac:dyDescent="0.35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58"/>
      <c r="Z790" s="30"/>
      <c r="AA790" s="67"/>
      <c r="AB790" s="30"/>
      <c r="AC790" s="30"/>
      <c r="AD790" s="30"/>
      <c r="AE790" s="67"/>
      <c r="AF790" s="30"/>
      <c r="AG790" s="30"/>
      <c r="AH790" s="30"/>
      <c r="AI790" s="30"/>
      <c r="AJ790" s="30"/>
      <c r="AK790" s="30"/>
      <c r="AL790" s="30"/>
      <c r="AM790" s="30"/>
      <c r="AN790" s="30"/>
      <c r="AO790" s="5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</row>
    <row r="791" spans="1:61" ht="15.5" x14ac:dyDescent="0.35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58"/>
      <c r="Z791" s="30"/>
      <c r="AA791" s="67"/>
      <c r="AB791" s="30"/>
      <c r="AC791" s="30"/>
      <c r="AD791" s="30"/>
      <c r="AE791" s="67"/>
      <c r="AF791" s="30"/>
      <c r="AG791" s="30"/>
      <c r="AH791" s="30"/>
      <c r="AI791" s="30"/>
      <c r="AJ791" s="30"/>
      <c r="AK791" s="30"/>
      <c r="AL791" s="30"/>
      <c r="AM791" s="30"/>
      <c r="AN791" s="30"/>
      <c r="AO791" s="5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</row>
    <row r="792" spans="1:61" ht="15.5" x14ac:dyDescent="0.3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58"/>
      <c r="Z792" s="30"/>
      <c r="AA792" s="67"/>
      <c r="AB792" s="30"/>
      <c r="AC792" s="30"/>
      <c r="AD792" s="30"/>
      <c r="AE792" s="67"/>
      <c r="AF792" s="30"/>
      <c r="AG792" s="30"/>
      <c r="AH792" s="30"/>
      <c r="AI792" s="30"/>
      <c r="AJ792" s="30"/>
      <c r="AK792" s="30"/>
      <c r="AL792" s="30"/>
      <c r="AM792" s="30"/>
      <c r="AN792" s="30"/>
      <c r="AO792" s="5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</row>
    <row r="793" spans="1:61" ht="15.5" x14ac:dyDescent="0.35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58"/>
      <c r="Z793" s="30"/>
      <c r="AA793" s="67"/>
      <c r="AB793" s="30"/>
      <c r="AC793" s="30"/>
      <c r="AD793" s="30"/>
      <c r="AE793" s="67"/>
      <c r="AF793" s="30"/>
      <c r="AG793" s="30"/>
      <c r="AH793" s="30"/>
      <c r="AI793" s="30"/>
      <c r="AJ793" s="30"/>
      <c r="AK793" s="30"/>
      <c r="AL793" s="30"/>
      <c r="AM793" s="30"/>
      <c r="AN793" s="30"/>
      <c r="AO793" s="5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</row>
    <row r="794" spans="1:61" ht="15.5" x14ac:dyDescent="0.35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58"/>
      <c r="Z794" s="30"/>
      <c r="AA794" s="67"/>
      <c r="AB794" s="30"/>
      <c r="AC794" s="30"/>
      <c r="AD794" s="30"/>
      <c r="AE794" s="67"/>
      <c r="AF794" s="30"/>
      <c r="AG794" s="30"/>
      <c r="AH794" s="30"/>
      <c r="AI794" s="30"/>
      <c r="AJ794" s="30"/>
      <c r="AK794" s="30"/>
      <c r="AL794" s="30"/>
      <c r="AM794" s="30"/>
      <c r="AN794" s="30"/>
      <c r="AO794" s="5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</row>
    <row r="795" spans="1:61" ht="15.5" x14ac:dyDescent="0.3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58"/>
      <c r="Z795" s="30"/>
      <c r="AA795" s="67"/>
      <c r="AB795" s="30"/>
      <c r="AC795" s="30"/>
      <c r="AD795" s="30"/>
      <c r="AE795" s="67"/>
      <c r="AF795" s="30"/>
      <c r="AG795" s="30"/>
      <c r="AH795" s="30"/>
      <c r="AI795" s="30"/>
      <c r="AJ795" s="30"/>
      <c r="AK795" s="30"/>
      <c r="AL795" s="30"/>
      <c r="AM795" s="30"/>
      <c r="AN795" s="30"/>
      <c r="AO795" s="5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</row>
    <row r="796" spans="1:61" ht="15.5" x14ac:dyDescent="0.35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58"/>
      <c r="Z796" s="30"/>
      <c r="AA796" s="67"/>
      <c r="AB796" s="30"/>
      <c r="AC796" s="30"/>
      <c r="AD796" s="30"/>
      <c r="AE796" s="67"/>
      <c r="AF796" s="30"/>
      <c r="AG796" s="30"/>
      <c r="AH796" s="30"/>
      <c r="AI796" s="30"/>
      <c r="AJ796" s="30"/>
      <c r="AK796" s="30"/>
      <c r="AL796" s="30"/>
      <c r="AM796" s="30"/>
      <c r="AN796" s="30"/>
      <c r="AO796" s="5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</row>
    <row r="797" spans="1:61" ht="15.5" x14ac:dyDescent="0.35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58"/>
      <c r="Z797" s="30"/>
      <c r="AA797" s="67"/>
      <c r="AB797" s="30"/>
      <c r="AC797" s="30"/>
      <c r="AD797" s="30"/>
      <c r="AE797" s="67"/>
      <c r="AF797" s="30"/>
      <c r="AG797" s="30"/>
      <c r="AH797" s="30"/>
      <c r="AI797" s="30"/>
      <c r="AJ797" s="30"/>
      <c r="AK797" s="30"/>
      <c r="AL797" s="30"/>
      <c r="AM797" s="30"/>
      <c r="AN797" s="30"/>
      <c r="AO797" s="5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</row>
    <row r="798" spans="1:61" ht="15.5" x14ac:dyDescent="0.35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58"/>
      <c r="Z798" s="30"/>
      <c r="AA798" s="67"/>
      <c r="AB798" s="30"/>
      <c r="AC798" s="30"/>
      <c r="AD798" s="30"/>
      <c r="AE798" s="67"/>
      <c r="AF798" s="30"/>
      <c r="AG798" s="30"/>
      <c r="AH798" s="30"/>
      <c r="AI798" s="30"/>
      <c r="AJ798" s="30"/>
      <c r="AK798" s="30"/>
      <c r="AL798" s="30"/>
      <c r="AM798" s="30"/>
      <c r="AN798" s="30"/>
      <c r="AO798" s="5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</row>
    <row r="799" spans="1:61" ht="15.5" x14ac:dyDescent="0.35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58"/>
      <c r="Z799" s="30"/>
      <c r="AA799" s="67"/>
      <c r="AB799" s="30"/>
      <c r="AC799" s="30"/>
      <c r="AD799" s="30"/>
      <c r="AE799" s="67"/>
      <c r="AF799" s="30"/>
      <c r="AG799" s="30"/>
      <c r="AH799" s="30"/>
      <c r="AI799" s="30"/>
      <c r="AJ799" s="30"/>
      <c r="AK799" s="30"/>
      <c r="AL799" s="30"/>
      <c r="AM799" s="30"/>
      <c r="AN799" s="30"/>
      <c r="AO799" s="5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</row>
    <row r="800" spans="1:61" ht="15.5" x14ac:dyDescent="0.35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58"/>
      <c r="Z800" s="30"/>
      <c r="AA800" s="67"/>
      <c r="AB800" s="30"/>
      <c r="AC800" s="30"/>
      <c r="AD800" s="30"/>
      <c r="AE800" s="67"/>
      <c r="AF800" s="30"/>
      <c r="AG800" s="30"/>
      <c r="AH800" s="30"/>
      <c r="AI800" s="30"/>
      <c r="AJ800" s="30"/>
      <c r="AK800" s="30"/>
      <c r="AL800" s="30"/>
      <c r="AM800" s="30"/>
      <c r="AN800" s="30"/>
      <c r="AO800" s="5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</row>
    <row r="801" spans="1:61" ht="15.5" x14ac:dyDescent="0.35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58"/>
      <c r="Z801" s="30"/>
      <c r="AA801" s="67"/>
      <c r="AB801" s="30"/>
      <c r="AC801" s="30"/>
      <c r="AD801" s="30"/>
      <c r="AE801" s="67"/>
      <c r="AF801" s="30"/>
      <c r="AG801" s="30"/>
      <c r="AH801" s="30"/>
      <c r="AI801" s="30"/>
      <c r="AJ801" s="30"/>
      <c r="AK801" s="30"/>
      <c r="AL801" s="30"/>
      <c r="AM801" s="30"/>
      <c r="AN801" s="30"/>
      <c r="AO801" s="5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</row>
    <row r="802" spans="1:61" ht="15.5" x14ac:dyDescent="0.35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58"/>
      <c r="Z802" s="30"/>
      <c r="AA802" s="67"/>
      <c r="AB802" s="30"/>
      <c r="AC802" s="30"/>
      <c r="AD802" s="30"/>
      <c r="AE802" s="67"/>
      <c r="AF802" s="30"/>
      <c r="AG802" s="30"/>
      <c r="AH802" s="30"/>
      <c r="AI802" s="30"/>
      <c r="AJ802" s="30"/>
      <c r="AK802" s="30"/>
      <c r="AL802" s="30"/>
      <c r="AM802" s="30"/>
      <c r="AN802" s="30"/>
      <c r="AO802" s="5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</row>
    <row r="803" spans="1:61" ht="15.5" x14ac:dyDescent="0.35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58"/>
      <c r="Z803" s="30"/>
      <c r="AA803" s="67"/>
      <c r="AB803" s="30"/>
      <c r="AC803" s="30"/>
      <c r="AD803" s="30"/>
      <c r="AE803" s="67"/>
      <c r="AF803" s="30"/>
      <c r="AG803" s="30"/>
      <c r="AH803" s="30"/>
      <c r="AI803" s="30"/>
      <c r="AJ803" s="30"/>
      <c r="AK803" s="30"/>
      <c r="AL803" s="30"/>
      <c r="AM803" s="30"/>
      <c r="AN803" s="30"/>
      <c r="AO803" s="5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</row>
    <row r="804" spans="1:61" ht="15.5" x14ac:dyDescent="0.35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58"/>
      <c r="Z804" s="30"/>
      <c r="AA804" s="67"/>
      <c r="AB804" s="30"/>
      <c r="AC804" s="30"/>
      <c r="AD804" s="30"/>
      <c r="AE804" s="67"/>
      <c r="AF804" s="30"/>
      <c r="AG804" s="30"/>
      <c r="AH804" s="30"/>
      <c r="AI804" s="30"/>
      <c r="AJ804" s="30"/>
      <c r="AK804" s="30"/>
      <c r="AL804" s="30"/>
      <c r="AM804" s="30"/>
      <c r="AN804" s="30"/>
      <c r="AO804" s="5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</row>
    <row r="805" spans="1:61" ht="15.5" x14ac:dyDescent="0.3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58"/>
      <c r="Z805" s="30"/>
      <c r="AA805" s="67"/>
      <c r="AB805" s="30"/>
      <c r="AC805" s="30"/>
      <c r="AD805" s="30"/>
      <c r="AE805" s="67"/>
      <c r="AF805" s="30"/>
      <c r="AG805" s="30"/>
      <c r="AH805" s="30"/>
      <c r="AI805" s="30"/>
      <c r="AJ805" s="30"/>
      <c r="AK805" s="30"/>
      <c r="AL805" s="30"/>
      <c r="AM805" s="30"/>
      <c r="AN805" s="30"/>
      <c r="AO805" s="5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</row>
    <row r="806" spans="1:61" ht="15.5" x14ac:dyDescent="0.3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58"/>
      <c r="Z806" s="30"/>
      <c r="AA806" s="67"/>
      <c r="AB806" s="30"/>
      <c r="AC806" s="30"/>
      <c r="AD806" s="30"/>
      <c r="AE806" s="67"/>
      <c r="AF806" s="30"/>
      <c r="AG806" s="30"/>
      <c r="AH806" s="30"/>
      <c r="AI806" s="30"/>
      <c r="AJ806" s="30"/>
      <c r="AK806" s="30"/>
      <c r="AL806" s="30"/>
      <c r="AM806" s="30"/>
      <c r="AN806" s="30"/>
      <c r="AO806" s="5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</row>
    <row r="807" spans="1:61" ht="15.5" x14ac:dyDescent="0.35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58"/>
      <c r="Z807" s="30"/>
      <c r="AA807" s="67"/>
      <c r="AB807" s="30"/>
      <c r="AC807" s="30"/>
      <c r="AD807" s="30"/>
      <c r="AE807" s="67"/>
      <c r="AF807" s="30"/>
      <c r="AG807" s="30"/>
      <c r="AH807" s="30"/>
      <c r="AI807" s="30"/>
      <c r="AJ807" s="30"/>
      <c r="AK807" s="30"/>
      <c r="AL807" s="30"/>
      <c r="AM807" s="30"/>
      <c r="AN807" s="30"/>
      <c r="AO807" s="5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</row>
    <row r="808" spans="1:61" ht="15.5" x14ac:dyDescent="0.35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58"/>
      <c r="Z808" s="30"/>
      <c r="AA808" s="67"/>
      <c r="AB808" s="30"/>
      <c r="AC808" s="30"/>
      <c r="AD808" s="30"/>
      <c r="AE808" s="67"/>
      <c r="AF808" s="30"/>
      <c r="AG808" s="30"/>
      <c r="AH808" s="30"/>
      <c r="AI808" s="30"/>
      <c r="AJ808" s="30"/>
      <c r="AK808" s="30"/>
      <c r="AL808" s="30"/>
      <c r="AM808" s="30"/>
      <c r="AN808" s="30"/>
      <c r="AO808" s="5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</row>
    <row r="809" spans="1:61" ht="15.5" x14ac:dyDescent="0.35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58"/>
      <c r="Z809" s="30"/>
      <c r="AA809" s="67"/>
      <c r="AB809" s="30"/>
      <c r="AC809" s="30"/>
      <c r="AD809" s="30"/>
      <c r="AE809" s="67"/>
      <c r="AF809" s="30"/>
      <c r="AG809" s="30"/>
      <c r="AH809" s="30"/>
      <c r="AI809" s="30"/>
      <c r="AJ809" s="30"/>
      <c r="AK809" s="30"/>
      <c r="AL809" s="30"/>
      <c r="AM809" s="30"/>
      <c r="AN809" s="30"/>
      <c r="AO809" s="5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</row>
    <row r="810" spans="1:61" ht="15.5" x14ac:dyDescent="0.35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58"/>
      <c r="Z810" s="30"/>
      <c r="AA810" s="67"/>
      <c r="AB810" s="30"/>
      <c r="AC810" s="30"/>
      <c r="AD810" s="30"/>
      <c r="AE810" s="67"/>
      <c r="AF810" s="30"/>
      <c r="AG810" s="30"/>
      <c r="AH810" s="30"/>
      <c r="AI810" s="30"/>
      <c r="AJ810" s="30"/>
      <c r="AK810" s="30"/>
      <c r="AL810" s="30"/>
      <c r="AM810" s="30"/>
      <c r="AN810" s="30"/>
      <c r="AO810" s="5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</row>
    <row r="811" spans="1:61" ht="15.5" x14ac:dyDescent="0.35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58"/>
      <c r="Z811" s="30"/>
      <c r="AA811" s="67"/>
      <c r="AB811" s="30"/>
      <c r="AC811" s="30"/>
      <c r="AD811" s="30"/>
      <c r="AE811" s="67"/>
      <c r="AF811" s="30"/>
      <c r="AG811" s="30"/>
      <c r="AH811" s="30"/>
      <c r="AI811" s="30"/>
      <c r="AJ811" s="30"/>
      <c r="AK811" s="30"/>
      <c r="AL811" s="30"/>
      <c r="AM811" s="30"/>
      <c r="AN811" s="30"/>
      <c r="AO811" s="5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</row>
    <row r="812" spans="1:61" ht="15.5" x14ac:dyDescent="0.35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58"/>
      <c r="Z812" s="30"/>
      <c r="AA812" s="67"/>
      <c r="AB812" s="30"/>
      <c r="AC812" s="30"/>
      <c r="AD812" s="30"/>
      <c r="AE812" s="67"/>
      <c r="AF812" s="30"/>
      <c r="AG812" s="30"/>
      <c r="AH812" s="30"/>
      <c r="AI812" s="30"/>
      <c r="AJ812" s="30"/>
      <c r="AK812" s="30"/>
      <c r="AL812" s="30"/>
      <c r="AM812" s="30"/>
      <c r="AN812" s="30"/>
      <c r="AO812" s="5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</row>
    <row r="813" spans="1:61" ht="15.5" x14ac:dyDescent="0.3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58"/>
      <c r="Z813" s="30"/>
      <c r="AA813" s="67"/>
      <c r="AB813" s="30"/>
      <c r="AC813" s="30"/>
      <c r="AD813" s="30"/>
      <c r="AE813" s="67"/>
      <c r="AF813" s="30"/>
      <c r="AG813" s="30"/>
      <c r="AH813" s="30"/>
      <c r="AI813" s="30"/>
      <c r="AJ813" s="30"/>
      <c r="AK813" s="30"/>
      <c r="AL813" s="30"/>
      <c r="AM813" s="30"/>
      <c r="AN813" s="30"/>
      <c r="AO813" s="5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</row>
    <row r="814" spans="1:61" ht="15.5" x14ac:dyDescent="0.35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58"/>
      <c r="Z814" s="30"/>
      <c r="AA814" s="67"/>
      <c r="AB814" s="30"/>
      <c r="AC814" s="30"/>
      <c r="AD814" s="30"/>
      <c r="AE814" s="67"/>
      <c r="AF814" s="30"/>
      <c r="AG814" s="30"/>
      <c r="AH814" s="30"/>
      <c r="AI814" s="30"/>
      <c r="AJ814" s="30"/>
      <c r="AK814" s="30"/>
      <c r="AL814" s="30"/>
      <c r="AM814" s="30"/>
      <c r="AN814" s="30"/>
      <c r="AO814" s="5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</row>
    <row r="815" spans="1:61" ht="15.5" x14ac:dyDescent="0.3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58"/>
      <c r="Z815" s="30"/>
      <c r="AA815" s="67"/>
      <c r="AB815" s="30"/>
      <c r="AC815" s="30"/>
      <c r="AD815" s="30"/>
      <c r="AE815" s="67"/>
      <c r="AF815" s="30"/>
      <c r="AG815" s="30"/>
      <c r="AH815" s="30"/>
      <c r="AI815" s="30"/>
      <c r="AJ815" s="30"/>
      <c r="AK815" s="30"/>
      <c r="AL815" s="30"/>
      <c r="AM815" s="30"/>
      <c r="AN815" s="30"/>
      <c r="AO815" s="5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</row>
    <row r="816" spans="1:61" ht="15.5" x14ac:dyDescent="0.35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58"/>
      <c r="Z816" s="30"/>
      <c r="AA816" s="67"/>
      <c r="AB816" s="30"/>
      <c r="AC816" s="30"/>
      <c r="AD816" s="30"/>
      <c r="AE816" s="67"/>
      <c r="AF816" s="30"/>
      <c r="AG816" s="30"/>
      <c r="AH816" s="30"/>
      <c r="AI816" s="30"/>
      <c r="AJ816" s="30"/>
      <c r="AK816" s="30"/>
      <c r="AL816" s="30"/>
      <c r="AM816" s="30"/>
      <c r="AN816" s="30"/>
      <c r="AO816" s="5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</row>
    <row r="817" spans="1:61" ht="15.5" x14ac:dyDescent="0.35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58"/>
      <c r="Z817" s="30"/>
      <c r="AA817" s="67"/>
      <c r="AB817" s="30"/>
      <c r="AC817" s="30"/>
      <c r="AD817" s="30"/>
      <c r="AE817" s="67"/>
      <c r="AF817" s="30"/>
      <c r="AG817" s="30"/>
      <c r="AH817" s="30"/>
      <c r="AI817" s="30"/>
      <c r="AJ817" s="30"/>
      <c r="AK817" s="30"/>
      <c r="AL817" s="30"/>
      <c r="AM817" s="30"/>
      <c r="AN817" s="30"/>
      <c r="AO817" s="5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</row>
    <row r="818" spans="1:61" ht="15.5" x14ac:dyDescent="0.35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58"/>
      <c r="Z818" s="30"/>
      <c r="AA818" s="67"/>
      <c r="AB818" s="30"/>
      <c r="AC818" s="30"/>
      <c r="AD818" s="30"/>
      <c r="AE818" s="67"/>
      <c r="AF818" s="30"/>
      <c r="AG818" s="30"/>
      <c r="AH818" s="30"/>
      <c r="AI818" s="30"/>
      <c r="AJ818" s="30"/>
      <c r="AK818" s="30"/>
      <c r="AL818" s="30"/>
      <c r="AM818" s="30"/>
      <c r="AN818" s="30"/>
      <c r="AO818" s="5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</row>
    <row r="819" spans="1:61" ht="15.5" x14ac:dyDescent="0.35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58"/>
      <c r="Z819" s="30"/>
      <c r="AA819" s="67"/>
      <c r="AB819" s="30"/>
      <c r="AC819" s="30"/>
      <c r="AD819" s="30"/>
      <c r="AE819" s="67"/>
      <c r="AF819" s="30"/>
      <c r="AG819" s="30"/>
      <c r="AH819" s="30"/>
      <c r="AI819" s="30"/>
      <c r="AJ819" s="30"/>
      <c r="AK819" s="30"/>
      <c r="AL819" s="30"/>
      <c r="AM819" s="30"/>
      <c r="AN819" s="30"/>
      <c r="AO819" s="5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</row>
    <row r="820" spans="1:61" ht="15.5" x14ac:dyDescent="0.3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58"/>
      <c r="Z820" s="30"/>
      <c r="AA820" s="67"/>
      <c r="AB820" s="30"/>
      <c r="AC820" s="30"/>
      <c r="AD820" s="30"/>
      <c r="AE820" s="67"/>
      <c r="AF820" s="30"/>
      <c r="AG820" s="30"/>
      <c r="AH820" s="30"/>
      <c r="AI820" s="30"/>
      <c r="AJ820" s="30"/>
      <c r="AK820" s="30"/>
      <c r="AL820" s="30"/>
      <c r="AM820" s="30"/>
      <c r="AN820" s="30"/>
      <c r="AO820" s="5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</row>
    <row r="821" spans="1:61" ht="15.5" x14ac:dyDescent="0.35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58"/>
      <c r="Z821" s="30"/>
      <c r="AA821" s="67"/>
      <c r="AB821" s="30"/>
      <c r="AC821" s="30"/>
      <c r="AD821" s="30"/>
      <c r="AE821" s="67"/>
      <c r="AF821" s="30"/>
      <c r="AG821" s="30"/>
      <c r="AH821" s="30"/>
      <c r="AI821" s="30"/>
      <c r="AJ821" s="30"/>
      <c r="AK821" s="30"/>
      <c r="AL821" s="30"/>
      <c r="AM821" s="30"/>
      <c r="AN821" s="30"/>
      <c r="AO821" s="5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</row>
    <row r="822" spans="1:61" ht="15.5" x14ac:dyDescent="0.35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58"/>
      <c r="Z822" s="30"/>
      <c r="AA822" s="67"/>
      <c r="AB822" s="30"/>
      <c r="AC822" s="30"/>
      <c r="AD822" s="30"/>
      <c r="AE822" s="67"/>
      <c r="AF822" s="30"/>
      <c r="AG822" s="30"/>
      <c r="AH822" s="30"/>
      <c r="AI822" s="30"/>
      <c r="AJ822" s="30"/>
      <c r="AK822" s="30"/>
      <c r="AL822" s="30"/>
      <c r="AM822" s="30"/>
      <c r="AN822" s="30"/>
      <c r="AO822" s="5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</row>
    <row r="823" spans="1:61" ht="15.5" x14ac:dyDescent="0.35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58"/>
      <c r="Z823" s="30"/>
      <c r="AA823" s="67"/>
      <c r="AB823" s="30"/>
      <c r="AC823" s="30"/>
      <c r="AD823" s="30"/>
      <c r="AE823" s="67"/>
      <c r="AF823" s="30"/>
      <c r="AG823" s="30"/>
      <c r="AH823" s="30"/>
      <c r="AI823" s="30"/>
      <c r="AJ823" s="30"/>
      <c r="AK823" s="30"/>
      <c r="AL823" s="30"/>
      <c r="AM823" s="30"/>
      <c r="AN823" s="30"/>
      <c r="AO823" s="5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</row>
    <row r="824" spans="1:61" ht="15.5" x14ac:dyDescent="0.35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58"/>
      <c r="Z824" s="30"/>
      <c r="AA824" s="67"/>
      <c r="AB824" s="30"/>
      <c r="AC824" s="30"/>
      <c r="AD824" s="30"/>
      <c r="AE824" s="67"/>
      <c r="AF824" s="30"/>
      <c r="AG824" s="30"/>
      <c r="AH824" s="30"/>
      <c r="AI824" s="30"/>
      <c r="AJ824" s="30"/>
      <c r="AK824" s="30"/>
      <c r="AL824" s="30"/>
      <c r="AM824" s="30"/>
      <c r="AN824" s="30"/>
      <c r="AO824" s="5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</row>
    <row r="825" spans="1:61" ht="15.5" x14ac:dyDescent="0.3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58"/>
      <c r="Z825" s="30"/>
      <c r="AA825" s="67"/>
      <c r="AB825" s="30"/>
      <c r="AC825" s="30"/>
      <c r="AD825" s="30"/>
      <c r="AE825" s="67"/>
      <c r="AF825" s="30"/>
      <c r="AG825" s="30"/>
      <c r="AH825" s="30"/>
      <c r="AI825" s="30"/>
      <c r="AJ825" s="30"/>
      <c r="AK825" s="30"/>
      <c r="AL825" s="30"/>
      <c r="AM825" s="30"/>
      <c r="AN825" s="30"/>
      <c r="AO825" s="5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</row>
    <row r="826" spans="1:61" ht="15.5" x14ac:dyDescent="0.35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58"/>
      <c r="Z826" s="30"/>
      <c r="AA826" s="67"/>
      <c r="AB826" s="30"/>
      <c r="AC826" s="30"/>
      <c r="AD826" s="30"/>
      <c r="AE826" s="67"/>
      <c r="AF826" s="30"/>
      <c r="AG826" s="30"/>
      <c r="AH826" s="30"/>
      <c r="AI826" s="30"/>
      <c r="AJ826" s="30"/>
      <c r="AK826" s="30"/>
      <c r="AL826" s="30"/>
      <c r="AM826" s="30"/>
      <c r="AN826" s="30"/>
      <c r="AO826" s="5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</row>
    <row r="827" spans="1:61" ht="15.5" x14ac:dyDescent="0.3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58"/>
      <c r="Z827" s="30"/>
      <c r="AA827" s="67"/>
      <c r="AB827" s="30"/>
      <c r="AC827" s="30"/>
      <c r="AD827" s="30"/>
      <c r="AE827" s="67"/>
      <c r="AF827" s="30"/>
      <c r="AG827" s="30"/>
      <c r="AH827" s="30"/>
      <c r="AI827" s="30"/>
      <c r="AJ827" s="30"/>
      <c r="AK827" s="30"/>
      <c r="AL827" s="30"/>
      <c r="AM827" s="30"/>
      <c r="AN827" s="30"/>
      <c r="AO827" s="5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</row>
    <row r="828" spans="1:61" ht="15.5" x14ac:dyDescent="0.35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58"/>
      <c r="Z828" s="30"/>
      <c r="AA828" s="67"/>
      <c r="AB828" s="30"/>
      <c r="AC828" s="30"/>
      <c r="AD828" s="30"/>
      <c r="AE828" s="67"/>
      <c r="AF828" s="30"/>
      <c r="AG828" s="30"/>
      <c r="AH828" s="30"/>
      <c r="AI828" s="30"/>
      <c r="AJ828" s="30"/>
      <c r="AK828" s="30"/>
      <c r="AL828" s="30"/>
      <c r="AM828" s="30"/>
      <c r="AN828" s="30"/>
      <c r="AO828" s="5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</row>
    <row r="829" spans="1:61" ht="15.5" x14ac:dyDescent="0.35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58"/>
      <c r="Z829" s="30"/>
      <c r="AA829" s="67"/>
      <c r="AB829" s="30"/>
      <c r="AC829" s="30"/>
      <c r="AD829" s="30"/>
      <c r="AE829" s="67"/>
      <c r="AF829" s="30"/>
      <c r="AG829" s="30"/>
      <c r="AH829" s="30"/>
      <c r="AI829" s="30"/>
      <c r="AJ829" s="30"/>
      <c r="AK829" s="30"/>
      <c r="AL829" s="30"/>
      <c r="AM829" s="30"/>
      <c r="AN829" s="30"/>
      <c r="AO829" s="5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</row>
    <row r="830" spans="1:61" ht="15.5" x14ac:dyDescent="0.35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58"/>
      <c r="Z830" s="30"/>
      <c r="AA830" s="67"/>
      <c r="AB830" s="30"/>
      <c r="AC830" s="30"/>
      <c r="AD830" s="30"/>
      <c r="AE830" s="67"/>
      <c r="AF830" s="30"/>
      <c r="AG830" s="30"/>
      <c r="AH830" s="30"/>
      <c r="AI830" s="30"/>
      <c r="AJ830" s="30"/>
      <c r="AK830" s="30"/>
      <c r="AL830" s="30"/>
      <c r="AM830" s="30"/>
      <c r="AN830" s="30"/>
      <c r="AO830" s="5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</row>
    <row r="831" spans="1:61" ht="15.5" x14ac:dyDescent="0.35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58"/>
      <c r="Z831" s="30"/>
      <c r="AA831" s="67"/>
      <c r="AB831" s="30"/>
      <c r="AC831" s="30"/>
      <c r="AD831" s="30"/>
      <c r="AE831" s="67"/>
      <c r="AF831" s="30"/>
      <c r="AG831" s="30"/>
      <c r="AH831" s="30"/>
      <c r="AI831" s="30"/>
      <c r="AJ831" s="30"/>
      <c r="AK831" s="30"/>
      <c r="AL831" s="30"/>
      <c r="AM831" s="30"/>
      <c r="AN831" s="30"/>
      <c r="AO831" s="5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</row>
    <row r="832" spans="1:61" ht="15.5" x14ac:dyDescent="0.35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58"/>
      <c r="Z832" s="30"/>
      <c r="AA832" s="67"/>
      <c r="AB832" s="30"/>
      <c r="AC832" s="30"/>
      <c r="AD832" s="30"/>
      <c r="AE832" s="67"/>
      <c r="AF832" s="30"/>
      <c r="AG832" s="30"/>
      <c r="AH832" s="30"/>
      <c r="AI832" s="30"/>
      <c r="AJ832" s="30"/>
      <c r="AK832" s="30"/>
      <c r="AL832" s="30"/>
      <c r="AM832" s="30"/>
      <c r="AN832" s="30"/>
      <c r="AO832" s="5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</row>
    <row r="833" spans="1:61" ht="15.5" x14ac:dyDescent="0.35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58"/>
      <c r="Z833" s="30"/>
      <c r="AA833" s="67"/>
      <c r="AB833" s="30"/>
      <c r="AC833" s="30"/>
      <c r="AD833" s="30"/>
      <c r="AE833" s="67"/>
      <c r="AF833" s="30"/>
      <c r="AG833" s="30"/>
      <c r="AH833" s="30"/>
      <c r="AI833" s="30"/>
      <c r="AJ833" s="30"/>
      <c r="AK833" s="30"/>
      <c r="AL833" s="30"/>
      <c r="AM833" s="30"/>
      <c r="AN833" s="30"/>
      <c r="AO833" s="5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</row>
    <row r="834" spans="1:61" ht="15.5" x14ac:dyDescent="0.3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58"/>
      <c r="Z834" s="30"/>
      <c r="AA834" s="67"/>
      <c r="AB834" s="30"/>
      <c r="AC834" s="30"/>
      <c r="AD834" s="30"/>
      <c r="AE834" s="67"/>
      <c r="AF834" s="30"/>
      <c r="AG834" s="30"/>
      <c r="AH834" s="30"/>
      <c r="AI834" s="30"/>
      <c r="AJ834" s="30"/>
      <c r="AK834" s="30"/>
      <c r="AL834" s="30"/>
      <c r="AM834" s="30"/>
      <c r="AN834" s="30"/>
      <c r="AO834" s="5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</row>
    <row r="835" spans="1:61" ht="15.5" x14ac:dyDescent="0.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58"/>
      <c r="Z835" s="30"/>
      <c r="AA835" s="67"/>
      <c r="AB835" s="30"/>
      <c r="AC835" s="30"/>
      <c r="AD835" s="30"/>
      <c r="AE835" s="67"/>
      <c r="AF835" s="30"/>
      <c r="AG835" s="30"/>
      <c r="AH835" s="30"/>
      <c r="AI835" s="30"/>
      <c r="AJ835" s="30"/>
      <c r="AK835" s="30"/>
      <c r="AL835" s="30"/>
      <c r="AM835" s="30"/>
      <c r="AN835" s="30"/>
      <c r="AO835" s="5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</row>
    <row r="836" spans="1:61" ht="15.5" x14ac:dyDescent="0.35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58"/>
      <c r="Z836" s="30"/>
      <c r="AA836" s="67"/>
      <c r="AB836" s="30"/>
      <c r="AC836" s="30"/>
      <c r="AD836" s="30"/>
      <c r="AE836" s="67"/>
      <c r="AF836" s="30"/>
      <c r="AG836" s="30"/>
      <c r="AH836" s="30"/>
      <c r="AI836" s="30"/>
      <c r="AJ836" s="30"/>
      <c r="AK836" s="30"/>
      <c r="AL836" s="30"/>
      <c r="AM836" s="30"/>
      <c r="AN836" s="30"/>
      <c r="AO836" s="5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</row>
    <row r="837" spans="1:61" ht="15.5" x14ac:dyDescent="0.35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58"/>
      <c r="Z837" s="30"/>
      <c r="AA837" s="67"/>
      <c r="AB837" s="30"/>
      <c r="AC837" s="30"/>
      <c r="AD837" s="30"/>
      <c r="AE837" s="67"/>
      <c r="AF837" s="30"/>
      <c r="AG837" s="30"/>
      <c r="AH837" s="30"/>
      <c r="AI837" s="30"/>
      <c r="AJ837" s="30"/>
      <c r="AK837" s="30"/>
      <c r="AL837" s="30"/>
      <c r="AM837" s="30"/>
      <c r="AN837" s="30"/>
      <c r="AO837" s="5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</row>
    <row r="838" spans="1:61" ht="15.5" x14ac:dyDescent="0.35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58"/>
      <c r="Z838" s="30"/>
      <c r="AA838" s="67"/>
      <c r="AB838" s="30"/>
      <c r="AC838" s="30"/>
      <c r="AD838" s="30"/>
      <c r="AE838" s="67"/>
      <c r="AF838" s="30"/>
      <c r="AG838" s="30"/>
      <c r="AH838" s="30"/>
      <c r="AI838" s="30"/>
      <c r="AJ838" s="30"/>
      <c r="AK838" s="30"/>
      <c r="AL838" s="30"/>
      <c r="AM838" s="30"/>
      <c r="AN838" s="30"/>
      <c r="AO838" s="5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</row>
    <row r="839" spans="1:61" ht="15.5" x14ac:dyDescent="0.35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58"/>
      <c r="Z839" s="30"/>
      <c r="AA839" s="67"/>
      <c r="AB839" s="30"/>
      <c r="AC839" s="30"/>
      <c r="AD839" s="30"/>
      <c r="AE839" s="67"/>
      <c r="AF839" s="30"/>
      <c r="AG839" s="30"/>
      <c r="AH839" s="30"/>
      <c r="AI839" s="30"/>
      <c r="AJ839" s="30"/>
      <c r="AK839" s="30"/>
      <c r="AL839" s="30"/>
      <c r="AM839" s="30"/>
      <c r="AN839" s="30"/>
      <c r="AO839" s="5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</row>
    <row r="840" spans="1:61" ht="15.5" x14ac:dyDescent="0.35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58"/>
      <c r="Z840" s="30"/>
      <c r="AA840" s="67"/>
      <c r="AB840" s="30"/>
      <c r="AC840" s="30"/>
      <c r="AD840" s="30"/>
      <c r="AE840" s="67"/>
      <c r="AF840" s="30"/>
      <c r="AG840" s="30"/>
      <c r="AH840" s="30"/>
      <c r="AI840" s="30"/>
      <c r="AJ840" s="30"/>
      <c r="AK840" s="30"/>
      <c r="AL840" s="30"/>
      <c r="AM840" s="30"/>
      <c r="AN840" s="30"/>
      <c r="AO840" s="5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</row>
    <row r="841" spans="1:61" ht="15.5" x14ac:dyDescent="0.3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58"/>
      <c r="Z841" s="30"/>
      <c r="AA841" s="67"/>
      <c r="AB841" s="30"/>
      <c r="AC841" s="30"/>
      <c r="AD841" s="30"/>
      <c r="AE841" s="67"/>
      <c r="AF841" s="30"/>
      <c r="AG841" s="30"/>
      <c r="AH841" s="30"/>
      <c r="AI841" s="30"/>
      <c r="AJ841" s="30"/>
      <c r="AK841" s="30"/>
      <c r="AL841" s="30"/>
      <c r="AM841" s="30"/>
      <c r="AN841" s="30"/>
      <c r="AO841" s="5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</row>
    <row r="842" spans="1:61" ht="15.5" x14ac:dyDescent="0.35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58"/>
      <c r="Z842" s="30"/>
      <c r="AA842" s="67"/>
      <c r="AB842" s="30"/>
      <c r="AC842" s="30"/>
      <c r="AD842" s="30"/>
      <c r="AE842" s="67"/>
      <c r="AF842" s="30"/>
      <c r="AG842" s="30"/>
      <c r="AH842" s="30"/>
      <c r="AI842" s="30"/>
      <c r="AJ842" s="30"/>
      <c r="AK842" s="30"/>
      <c r="AL842" s="30"/>
      <c r="AM842" s="30"/>
      <c r="AN842" s="30"/>
      <c r="AO842" s="5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</row>
    <row r="843" spans="1:61" ht="15.5" x14ac:dyDescent="0.35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58"/>
      <c r="Z843" s="30"/>
      <c r="AA843" s="67"/>
      <c r="AB843" s="30"/>
      <c r="AC843" s="30"/>
      <c r="AD843" s="30"/>
      <c r="AE843" s="67"/>
      <c r="AF843" s="30"/>
      <c r="AG843" s="30"/>
      <c r="AH843" s="30"/>
      <c r="AI843" s="30"/>
      <c r="AJ843" s="30"/>
      <c r="AK843" s="30"/>
      <c r="AL843" s="30"/>
      <c r="AM843" s="30"/>
      <c r="AN843" s="30"/>
      <c r="AO843" s="5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</row>
    <row r="844" spans="1:61" ht="15.5" x14ac:dyDescent="0.35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58"/>
      <c r="Z844" s="30"/>
      <c r="AA844" s="67"/>
      <c r="AB844" s="30"/>
      <c r="AC844" s="30"/>
      <c r="AD844" s="30"/>
      <c r="AE844" s="67"/>
      <c r="AF844" s="30"/>
      <c r="AG844" s="30"/>
      <c r="AH844" s="30"/>
      <c r="AI844" s="30"/>
      <c r="AJ844" s="30"/>
      <c r="AK844" s="30"/>
      <c r="AL844" s="30"/>
      <c r="AM844" s="30"/>
      <c r="AN844" s="30"/>
      <c r="AO844" s="5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</row>
    <row r="845" spans="1:61" ht="15.5" x14ac:dyDescent="0.3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58"/>
      <c r="Z845" s="30"/>
      <c r="AA845" s="67"/>
      <c r="AB845" s="30"/>
      <c r="AC845" s="30"/>
      <c r="AD845" s="30"/>
      <c r="AE845" s="67"/>
      <c r="AF845" s="30"/>
      <c r="AG845" s="30"/>
      <c r="AH845" s="30"/>
      <c r="AI845" s="30"/>
      <c r="AJ845" s="30"/>
      <c r="AK845" s="30"/>
      <c r="AL845" s="30"/>
      <c r="AM845" s="30"/>
      <c r="AN845" s="30"/>
      <c r="AO845" s="5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</row>
    <row r="846" spans="1:61" ht="15.5" x14ac:dyDescent="0.35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58"/>
      <c r="Z846" s="30"/>
      <c r="AA846" s="67"/>
      <c r="AB846" s="30"/>
      <c r="AC846" s="30"/>
      <c r="AD846" s="30"/>
      <c r="AE846" s="67"/>
      <c r="AF846" s="30"/>
      <c r="AG846" s="30"/>
      <c r="AH846" s="30"/>
      <c r="AI846" s="30"/>
      <c r="AJ846" s="30"/>
      <c r="AK846" s="30"/>
      <c r="AL846" s="30"/>
      <c r="AM846" s="30"/>
      <c r="AN846" s="30"/>
      <c r="AO846" s="5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</row>
    <row r="847" spans="1:61" ht="15.5" x14ac:dyDescent="0.35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58"/>
      <c r="Z847" s="30"/>
      <c r="AA847" s="67"/>
      <c r="AB847" s="30"/>
      <c r="AC847" s="30"/>
      <c r="AD847" s="30"/>
      <c r="AE847" s="67"/>
      <c r="AF847" s="30"/>
      <c r="AG847" s="30"/>
      <c r="AH847" s="30"/>
      <c r="AI847" s="30"/>
      <c r="AJ847" s="30"/>
      <c r="AK847" s="30"/>
      <c r="AL847" s="30"/>
      <c r="AM847" s="30"/>
      <c r="AN847" s="30"/>
      <c r="AO847" s="5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</row>
    <row r="848" spans="1:61" ht="15.5" x14ac:dyDescent="0.3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58"/>
      <c r="Z848" s="30"/>
      <c r="AA848" s="67"/>
      <c r="AB848" s="30"/>
      <c r="AC848" s="30"/>
      <c r="AD848" s="30"/>
      <c r="AE848" s="67"/>
      <c r="AF848" s="30"/>
      <c r="AG848" s="30"/>
      <c r="AH848" s="30"/>
      <c r="AI848" s="30"/>
      <c r="AJ848" s="30"/>
      <c r="AK848" s="30"/>
      <c r="AL848" s="30"/>
      <c r="AM848" s="30"/>
      <c r="AN848" s="30"/>
      <c r="AO848" s="5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</row>
    <row r="849" spans="1:61" ht="15.5" x14ac:dyDescent="0.35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58"/>
      <c r="Z849" s="30"/>
      <c r="AA849" s="67"/>
      <c r="AB849" s="30"/>
      <c r="AC849" s="30"/>
      <c r="AD849" s="30"/>
      <c r="AE849" s="67"/>
      <c r="AF849" s="30"/>
      <c r="AG849" s="30"/>
      <c r="AH849" s="30"/>
      <c r="AI849" s="30"/>
      <c r="AJ849" s="30"/>
      <c r="AK849" s="30"/>
      <c r="AL849" s="30"/>
      <c r="AM849" s="30"/>
      <c r="AN849" s="30"/>
      <c r="AO849" s="5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</row>
    <row r="850" spans="1:61" ht="15.5" x14ac:dyDescent="0.35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58"/>
      <c r="Z850" s="30"/>
      <c r="AA850" s="67"/>
      <c r="AB850" s="30"/>
      <c r="AC850" s="30"/>
      <c r="AD850" s="30"/>
      <c r="AE850" s="67"/>
      <c r="AF850" s="30"/>
      <c r="AG850" s="30"/>
      <c r="AH850" s="30"/>
      <c r="AI850" s="30"/>
      <c r="AJ850" s="30"/>
      <c r="AK850" s="30"/>
      <c r="AL850" s="30"/>
      <c r="AM850" s="30"/>
      <c r="AN850" s="30"/>
      <c r="AO850" s="5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</row>
    <row r="851" spans="1:61" ht="15.5" x14ac:dyDescent="0.35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58"/>
      <c r="Z851" s="30"/>
      <c r="AA851" s="67"/>
      <c r="AB851" s="30"/>
      <c r="AC851" s="30"/>
      <c r="AD851" s="30"/>
      <c r="AE851" s="67"/>
      <c r="AF851" s="30"/>
      <c r="AG851" s="30"/>
      <c r="AH851" s="30"/>
      <c r="AI851" s="30"/>
      <c r="AJ851" s="30"/>
      <c r="AK851" s="30"/>
      <c r="AL851" s="30"/>
      <c r="AM851" s="30"/>
      <c r="AN851" s="30"/>
      <c r="AO851" s="5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</row>
    <row r="852" spans="1:61" ht="15.5" x14ac:dyDescent="0.35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58"/>
      <c r="Z852" s="30"/>
      <c r="AA852" s="67"/>
      <c r="AB852" s="30"/>
      <c r="AC852" s="30"/>
      <c r="AD852" s="30"/>
      <c r="AE852" s="67"/>
      <c r="AF852" s="30"/>
      <c r="AG852" s="30"/>
      <c r="AH852" s="30"/>
      <c r="AI852" s="30"/>
      <c r="AJ852" s="30"/>
      <c r="AK852" s="30"/>
      <c r="AL852" s="30"/>
      <c r="AM852" s="30"/>
      <c r="AN852" s="30"/>
      <c r="AO852" s="5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</row>
    <row r="853" spans="1:61" ht="15.5" x14ac:dyDescent="0.35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58"/>
      <c r="Z853" s="30"/>
      <c r="AA853" s="67"/>
      <c r="AB853" s="30"/>
      <c r="AC853" s="30"/>
      <c r="AD853" s="30"/>
      <c r="AE853" s="67"/>
      <c r="AF853" s="30"/>
      <c r="AG853" s="30"/>
      <c r="AH853" s="30"/>
      <c r="AI853" s="30"/>
      <c r="AJ853" s="30"/>
      <c r="AK853" s="30"/>
      <c r="AL853" s="30"/>
      <c r="AM853" s="30"/>
      <c r="AN853" s="30"/>
      <c r="AO853" s="5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</row>
    <row r="854" spans="1:61" ht="15.5" x14ac:dyDescent="0.35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58"/>
      <c r="Z854" s="30"/>
      <c r="AA854" s="67"/>
      <c r="AB854" s="30"/>
      <c r="AC854" s="30"/>
      <c r="AD854" s="30"/>
      <c r="AE854" s="67"/>
      <c r="AF854" s="30"/>
      <c r="AG854" s="30"/>
      <c r="AH854" s="30"/>
      <c r="AI854" s="30"/>
      <c r="AJ854" s="30"/>
      <c r="AK854" s="30"/>
      <c r="AL854" s="30"/>
      <c r="AM854" s="30"/>
      <c r="AN854" s="30"/>
      <c r="AO854" s="5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</row>
    <row r="855" spans="1:61" ht="15.5" x14ac:dyDescent="0.3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58"/>
      <c r="Z855" s="30"/>
      <c r="AA855" s="67"/>
      <c r="AB855" s="30"/>
      <c r="AC855" s="30"/>
      <c r="AD855" s="30"/>
      <c r="AE855" s="67"/>
      <c r="AF855" s="30"/>
      <c r="AG855" s="30"/>
      <c r="AH855" s="30"/>
      <c r="AI855" s="30"/>
      <c r="AJ855" s="30"/>
      <c r="AK855" s="30"/>
      <c r="AL855" s="30"/>
      <c r="AM855" s="30"/>
      <c r="AN855" s="30"/>
      <c r="AO855" s="5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</row>
    <row r="856" spans="1:61" ht="15.5" x14ac:dyDescent="0.35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58"/>
      <c r="Z856" s="30"/>
      <c r="AA856" s="67"/>
      <c r="AB856" s="30"/>
      <c r="AC856" s="30"/>
      <c r="AD856" s="30"/>
      <c r="AE856" s="67"/>
      <c r="AF856" s="30"/>
      <c r="AG856" s="30"/>
      <c r="AH856" s="30"/>
      <c r="AI856" s="30"/>
      <c r="AJ856" s="30"/>
      <c r="AK856" s="30"/>
      <c r="AL856" s="30"/>
      <c r="AM856" s="30"/>
      <c r="AN856" s="30"/>
      <c r="AO856" s="5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</row>
    <row r="857" spans="1:61" ht="15.5" x14ac:dyDescent="0.35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58"/>
      <c r="Z857" s="30"/>
      <c r="AA857" s="67"/>
      <c r="AB857" s="30"/>
      <c r="AC857" s="30"/>
      <c r="AD857" s="30"/>
      <c r="AE857" s="67"/>
      <c r="AF857" s="30"/>
      <c r="AG857" s="30"/>
      <c r="AH857" s="30"/>
      <c r="AI857" s="30"/>
      <c r="AJ857" s="30"/>
      <c r="AK857" s="30"/>
      <c r="AL857" s="30"/>
      <c r="AM857" s="30"/>
      <c r="AN857" s="30"/>
      <c r="AO857" s="5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</row>
    <row r="858" spans="1:61" ht="15.5" x14ac:dyDescent="0.35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58"/>
      <c r="Z858" s="30"/>
      <c r="AA858" s="67"/>
      <c r="AB858" s="30"/>
      <c r="AC858" s="30"/>
      <c r="AD858" s="30"/>
      <c r="AE858" s="67"/>
      <c r="AF858" s="30"/>
      <c r="AG858" s="30"/>
      <c r="AH858" s="30"/>
      <c r="AI858" s="30"/>
      <c r="AJ858" s="30"/>
      <c r="AK858" s="30"/>
      <c r="AL858" s="30"/>
      <c r="AM858" s="30"/>
      <c r="AN858" s="30"/>
      <c r="AO858" s="5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</row>
    <row r="859" spans="1:61" ht="15.5" x14ac:dyDescent="0.35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58"/>
      <c r="Z859" s="30"/>
      <c r="AA859" s="67"/>
      <c r="AB859" s="30"/>
      <c r="AC859" s="30"/>
      <c r="AD859" s="30"/>
      <c r="AE859" s="67"/>
      <c r="AF859" s="30"/>
      <c r="AG859" s="30"/>
      <c r="AH859" s="30"/>
      <c r="AI859" s="30"/>
      <c r="AJ859" s="30"/>
      <c r="AK859" s="30"/>
      <c r="AL859" s="30"/>
      <c r="AM859" s="30"/>
      <c r="AN859" s="30"/>
      <c r="AO859" s="5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</row>
    <row r="860" spans="1:61" ht="15.5" x14ac:dyDescent="0.35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58"/>
      <c r="Z860" s="30"/>
      <c r="AA860" s="67"/>
      <c r="AB860" s="30"/>
      <c r="AC860" s="30"/>
      <c r="AD860" s="30"/>
      <c r="AE860" s="67"/>
      <c r="AF860" s="30"/>
      <c r="AG860" s="30"/>
      <c r="AH860" s="30"/>
      <c r="AI860" s="30"/>
      <c r="AJ860" s="30"/>
      <c r="AK860" s="30"/>
      <c r="AL860" s="30"/>
      <c r="AM860" s="30"/>
      <c r="AN860" s="30"/>
      <c r="AO860" s="5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</row>
    <row r="861" spans="1:61" ht="15.5" x14ac:dyDescent="0.35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58"/>
      <c r="Z861" s="30"/>
      <c r="AA861" s="67"/>
      <c r="AB861" s="30"/>
      <c r="AC861" s="30"/>
      <c r="AD861" s="30"/>
      <c r="AE861" s="67"/>
      <c r="AF861" s="30"/>
      <c r="AG861" s="30"/>
      <c r="AH861" s="30"/>
      <c r="AI861" s="30"/>
      <c r="AJ861" s="30"/>
      <c r="AK861" s="30"/>
      <c r="AL861" s="30"/>
      <c r="AM861" s="30"/>
      <c r="AN861" s="30"/>
      <c r="AO861" s="5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</row>
    <row r="862" spans="1:61" ht="15.5" x14ac:dyDescent="0.3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58"/>
      <c r="Z862" s="30"/>
      <c r="AA862" s="67"/>
      <c r="AB862" s="30"/>
      <c r="AC862" s="30"/>
      <c r="AD862" s="30"/>
      <c r="AE862" s="67"/>
      <c r="AF862" s="30"/>
      <c r="AG862" s="30"/>
      <c r="AH862" s="30"/>
      <c r="AI862" s="30"/>
      <c r="AJ862" s="30"/>
      <c r="AK862" s="30"/>
      <c r="AL862" s="30"/>
      <c r="AM862" s="30"/>
      <c r="AN862" s="30"/>
      <c r="AO862" s="5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  <c r="BI862" s="30"/>
    </row>
    <row r="863" spans="1:61" ht="15.5" x14ac:dyDescent="0.35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58"/>
      <c r="Z863" s="30"/>
      <c r="AA863" s="67"/>
      <c r="AB863" s="30"/>
      <c r="AC863" s="30"/>
      <c r="AD863" s="30"/>
      <c r="AE863" s="67"/>
      <c r="AF863" s="30"/>
      <c r="AG863" s="30"/>
      <c r="AH863" s="30"/>
      <c r="AI863" s="30"/>
      <c r="AJ863" s="30"/>
      <c r="AK863" s="30"/>
      <c r="AL863" s="30"/>
      <c r="AM863" s="30"/>
      <c r="AN863" s="30"/>
      <c r="AO863" s="5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</row>
    <row r="864" spans="1:61" ht="15.5" x14ac:dyDescent="0.35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58"/>
      <c r="Z864" s="30"/>
      <c r="AA864" s="67"/>
      <c r="AB864" s="30"/>
      <c r="AC864" s="30"/>
      <c r="AD864" s="30"/>
      <c r="AE864" s="67"/>
      <c r="AF864" s="30"/>
      <c r="AG864" s="30"/>
      <c r="AH864" s="30"/>
      <c r="AI864" s="30"/>
      <c r="AJ864" s="30"/>
      <c r="AK864" s="30"/>
      <c r="AL864" s="30"/>
      <c r="AM864" s="30"/>
      <c r="AN864" s="30"/>
      <c r="AO864" s="5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</row>
    <row r="865" spans="1:61" ht="15.5" x14ac:dyDescent="0.3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58"/>
      <c r="Z865" s="30"/>
      <c r="AA865" s="67"/>
      <c r="AB865" s="30"/>
      <c r="AC865" s="30"/>
      <c r="AD865" s="30"/>
      <c r="AE865" s="67"/>
      <c r="AF865" s="30"/>
      <c r="AG865" s="30"/>
      <c r="AH865" s="30"/>
      <c r="AI865" s="30"/>
      <c r="AJ865" s="30"/>
      <c r="AK865" s="30"/>
      <c r="AL865" s="30"/>
      <c r="AM865" s="30"/>
      <c r="AN865" s="30"/>
      <c r="AO865" s="5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</row>
    <row r="866" spans="1:61" ht="15.5" x14ac:dyDescent="0.35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58"/>
      <c r="Z866" s="30"/>
      <c r="AA866" s="67"/>
      <c r="AB866" s="30"/>
      <c r="AC866" s="30"/>
      <c r="AD866" s="30"/>
      <c r="AE866" s="67"/>
      <c r="AF866" s="30"/>
      <c r="AG866" s="30"/>
      <c r="AH866" s="30"/>
      <c r="AI866" s="30"/>
      <c r="AJ866" s="30"/>
      <c r="AK866" s="30"/>
      <c r="AL866" s="30"/>
      <c r="AM866" s="30"/>
      <c r="AN866" s="30"/>
      <c r="AO866" s="5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</row>
    <row r="867" spans="1:61" ht="15.5" x14ac:dyDescent="0.35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58"/>
      <c r="Z867" s="30"/>
      <c r="AA867" s="67"/>
      <c r="AB867" s="30"/>
      <c r="AC867" s="30"/>
      <c r="AD867" s="30"/>
      <c r="AE867" s="67"/>
      <c r="AF867" s="30"/>
      <c r="AG867" s="30"/>
      <c r="AH867" s="30"/>
      <c r="AI867" s="30"/>
      <c r="AJ867" s="30"/>
      <c r="AK867" s="30"/>
      <c r="AL867" s="30"/>
      <c r="AM867" s="30"/>
      <c r="AN867" s="30"/>
      <c r="AO867" s="5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</row>
    <row r="868" spans="1:61" ht="15.5" x14ac:dyDescent="0.35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58"/>
      <c r="Z868" s="30"/>
      <c r="AA868" s="67"/>
      <c r="AB868" s="30"/>
      <c r="AC868" s="30"/>
      <c r="AD868" s="30"/>
      <c r="AE868" s="67"/>
      <c r="AF868" s="30"/>
      <c r="AG868" s="30"/>
      <c r="AH868" s="30"/>
      <c r="AI868" s="30"/>
      <c r="AJ868" s="30"/>
      <c r="AK868" s="30"/>
      <c r="AL868" s="30"/>
      <c r="AM868" s="30"/>
      <c r="AN868" s="30"/>
      <c r="AO868" s="5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</row>
    <row r="869" spans="1:61" ht="15.5" x14ac:dyDescent="0.35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58"/>
      <c r="Z869" s="30"/>
      <c r="AA869" s="67"/>
      <c r="AB869" s="30"/>
      <c r="AC869" s="30"/>
      <c r="AD869" s="30"/>
      <c r="AE869" s="67"/>
      <c r="AF869" s="30"/>
      <c r="AG869" s="30"/>
      <c r="AH869" s="30"/>
      <c r="AI869" s="30"/>
      <c r="AJ869" s="30"/>
      <c r="AK869" s="30"/>
      <c r="AL869" s="30"/>
      <c r="AM869" s="30"/>
      <c r="AN869" s="30"/>
      <c r="AO869" s="5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</row>
    <row r="870" spans="1:61" ht="15.5" x14ac:dyDescent="0.35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58"/>
      <c r="Z870" s="30"/>
      <c r="AA870" s="67"/>
      <c r="AB870" s="30"/>
      <c r="AC870" s="30"/>
      <c r="AD870" s="30"/>
      <c r="AE870" s="67"/>
      <c r="AF870" s="30"/>
      <c r="AG870" s="30"/>
      <c r="AH870" s="30"/>
      <c r="AI870" s="30"/>
      <c r="AJ870" s="30"/>
      <c r="AK870" s="30"/>
      <c r="AL870" s="30"/>
      <c r="AM870" s="30"/>
      <c r="AN870" s="30"/>
      <c r="AO870" s="5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</row>
    <row r="871" spans="1:61" ht="15.5" x14ac:dyDescent="0.35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58"/>
      <c r="Z871" s="30"/>
      <c r="AA871" s="67"/>
      <c r="AB871" s="30"/>
      <c r="AC871" s="30"/>
      <c r="AD871" s="30"/>
      <c r="AE871" s="67"/>
      <c r="AF871" s="30"/>
      <c r="AG871" s="30"/>
      <c r="AH871" s="30"/>
      <c r="AI871" s="30"/>
      <c r="AJ871" s="30"/>
      <c r="AK871" s="30"/>
      <c r="AL871" s="30"/>
      <c r="AM871" s="30"/>
      <c r="AN871" s="30"/>
      <c r="AO871" s="5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</row>
    <row r="872" spans="1:61" ht="15.5" x14ac:dyDescent="0.35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58"/>
      <c r="Z872" s="30"/>
      <c r="AA872" s="67"/>
      <c r="AB872" s="30"/>
      <c r="AC872" s="30"/>
      <c r="AD872" s="30"/>
      <c r="AE872" s="67"/>
      <c r="AF872" s="30"/>
      <c r="AG872" s="30"/>
      <c r="AH872" s="30"/>
      <c r="AI872" s="30"/>
      <c r="AJ872" s="30"/>
      <c r="AK872" s="30"/>
      <c r="AL872" s="30"/>
      <c r="AM872" s="30"/>
      <c r="AN872" s="30"/>
      <c r="AO872" s="5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</row>
    <row r="873" spans="1:61" ht="15.5" x14ac:dyDescent="0.35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58"/>
      <c r="Z873" s="30"/>
      <c r="AA873" s="67"/>
      <c r="AB873" s="30"/>
      <c r="AC873" s="30"/>
      <c r="AD873" s="30"/>
      <c r="AE873" s="67"/>
      <c r="AF873" s="30"/>
      <c r="AG873" s="30"/>
      <c r="AH873" s="30"/>
      <c r="AI873" s="30"/>
      <c r="AJ873" s="30"/>
      <c r="AK873" s="30"/>
      <c r="AL873" s="30"/>
      <c r="AM873" s="30"/>
      <c r="AN873" s="30"/>
      <c r="AO873" s="5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</row>
    <row r="874" spans="1:61" ht="15.5" x14ac:dyDescent="0.35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58"/>
      <c r="Z874" s="30"/>
      <c r="AA874" s="67"/>
      <c r="AB874" s="30"/>
      <c r="AC874" s="30"/>
      <c r="AD874" s="30"/>
      <c r="AE874" s="67"/>
      <c r="AF874" s="30"/>
      <c r="AG874" s="30"/>
      <c r="AH874" s="30"/>
      <c r="AI874" s="30"/>
      <c r="AJ874" s="30"/>
      <c r="AK874" s="30"/>
      <c r="AL874" s="30"/>
      <c r="AM874" s="30"/>
      <c r="AN874" s="30"/>
      <c r="AO874" s="5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</row>
    <row r="875" spans="1:61" ht="15.5" x14ac:dyDescent="0.3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58"/>
      <c r="Z875" s="30"/>
      <c r="AA875" s="67"/>
      <c r="AB875" s="30"/>
      <c r="AC875" s="30"/>
      <c r="AD875" s="30"/>
      <c r="AE875" s="67"/>
      <c r="AF875" s="30"/>
      <c r="AG875" s="30"/>
      <c r="AH875" s="30"/>
      <c r="AI875" s="30"/>
      <c r="AJ875" s="30"/>
      <c r="AK875" s="30"/>
      <c r="AL875" s="30"/>
      <c r="AM875" s="30"/>
      <c r="AN875" s="30"/>
      <c r="AO875" s="5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</row>
    <row r="876" spans="1:61" ht="15.5" x14ac:dyDescent="0.3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58"/>
      <c r="Z876" s="30"/>
      <c r="AA876" s="67"/>
      <c r="AB876" s="30"/>
      <c r="AC876" s="30"/>
      <c r="AD876" s="30"/>
      <c r="AE876" s="67"/>
      <c r="AF876" s="30"/>
      <c r="AG876" s="30"/>
      <c r="AH876" s="30"/>
      <c r="AI876" s="30"/>
      <c r="AJ876" s="30"/>
      <c r="AK876" s="30"/>
      <c r="AL876" s="30"/>
      <c r="AM876" s="30"/>
      <c r="AN876" s="30"/>
      <c r="AO876" s="5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</row>
    <row r="877" spans="1:61" ht="15.5" x14ac:dyDescent="0.35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58"/>
      <c r="Z877" s="30"/>
      <c r="AA877" s="67"/>
      <c r="AB877" s="30"/>
      <c r="AC877" s="30"/>
      <c r="AD877" s="30"/>
      <c r="AE877" s="67"/>
      <c r="AF877" s="30"/>
      <c r="AG877" s="30"/>
      <c r="AH877" s="30"/>
      <c r="AI877" s="30"/>
      <c r="AJ877" s="30"/>
      <c r="AK877" s="30"/>
      <c r="AL877" s="30"/>
      <c r="AM877" s="30"/>
      <c r="AN877" s="30"/>
      <c r="AO877" s="5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</row>
    <row r="878" spans="1:61" ht="15.5" x14ac:dyDescent="0.35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58"/>
      <c r="Z878" s="30"/>
      <c r="AA878" s="67"/>
      <c r="AB878" s="30"/>
      <c r="AC878" s="30"/>
      <c r="AD878" s="30"/>
      <c r="AE878" s="67"/>
      <c r="AF878" s="30"/>
      <c r="AG878" s="30"/>
      <c r="AH878" s="30"/>
      <c r="AI878" s="30"/>
      <c r="AJ878" s="30"/>
      <c r="AK878" s="30"/>
      <c r="AL878" s="30"/>
      <c r="AM878" s="30"/>
      <c r="AN878" s="30"/>
      <c r="AO878" s="5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</row>
    <row r="879" spans="1:61" ht="15.5" x14ac:dyDescent="0.35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58"/>
      <c r="Z879" s="30"/>
      <c r="AA879" s="67"/>
      <c r="AB879" s="30"/>
      <c r="AC879" s="30"/>
      <c r="AD879" s="30"/>
      <c r="AE879" s="67"/>
      <c r="AF879" s="30"/>
      <c r="AG879" s="30"/>
      <c r="AH879" s="30"/>
      <c r="AI879" s="30"/>
      <c r="AJ879" s="30"/>
      <c r="AK879" s="30"/>
      <c r="AL879" s="30"/>
      <c r="AM879" s="30"/>
      <c r="AN879" s="30"/>
      <c r="AO879" s="5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</row>
    <row r="880" spans="1:61" ht="15.5" x14ac:dyDescent="0.35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58"/>
      <c r="Z880" s="30"/>
      <c r="AA880" s="67"/>
      <c r="AB880" s="30"/>
      <c r="AC880" s="30"/>
      <c r="AD880" s="30"/>
      <c r="AE880" s="67"/>
      <c r="AF880" s="30"/>
      <c r="AG880" s="30"/>
      <c r="AH880" s="30"/>
      <c r="AI880" s="30"/>
      <c r="AJ880" s="30"/>
      <c r="AK880" s="30"/>
      <c r="AL880" s="30"/>
      <c r="AM880" s="30"/>
      <c r="AN880" s="30"/>
      <c r="AO880" s="5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</row>
    <row r="881" spans="1:61" ht="15.5" x14ac:dyDescent="0.35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58"/>
      <c r="Z881" s="30"/>
      <c r="AA881" s="67"/>
      <c r="AB881" s="30"/>
      <c r="AC881" s="30"/>
      <c r="AD881" s="30"/>
      <c r="AE881" s="67"/>
      <c r="AF881" s="30"/>
      <c r="AG881" s="30"/>
      <c r="AH881" s="30"/>
      <c r="AI881" s="30"/>
      <c r="AJ881" s="30"/>
      <c r="AK881" s="30"/>
      <c r="AL881" s="30"/>
      <c r="AM881" s="30"/>
      <c r="AN881" s="30"/>
      <c r="AO881" s="5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</row>
    <row r="882" spans="1:61" ht="15.5" x14ac:dyDescent="0.35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58"/>
      <c r="Z882" s="30"/>
      <c r="AA882" s="67"/>
      <c r="AB882" s="30"/>
      <c r="AC882" s="30"/>
      <c r="AD882" s="30"/>
      <c r="AE882" s="67"/>
      <c r="AF882" s="30"/>
      <c r="AG882" s="30"/>
      <c r="AH882" s="30"/>
      <c r="AI882" s="30"/>
      <c r="AJ882" s="30"/>
      <c r="AK882" s="30"/>
      <c r="AL882" s="30"/>
      <c r="AM882" s="30"/>
      <c r="AN882" s="30"/>
      <c r="AO882" s="5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</row>
    <row r="883" spans="1:61" ht="15.5" x14ac:dyDescent="0.35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58"/>
      <c r="Z883" s="30"/>
      <c r="AA883" s="67"/>
      <c r="AB883" s="30"/>
      <c r="AC883" s="30"/>
      <c r="AD883" s="30"/>
      <c r="AE883" s="67"/>
      <c r="AF883" s="30"/>
      <c r="AG883" s="30"/>
      <c r="AH883" s="30"/>
      <c r="AI883" s="30"/>
      <c r="AJ883" s="30"/>
      <c r="AK883" s="30"/>
      <c r="AL883" s="30"/>
      <c r="AM883" s="30"/>
      <c r="AN883" s="30"/>
      <c r="AO883" s="5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</row>
    <row r="884" spans="1:61" ht="15.5" x14ac:dyDescent="0.35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58"/>
      <c r="Z884" s="30"/>
      <c r="AA884" s="67"/>
      <c r="AB884" s="30"/>
      <c r="AC884" s="30"/>
      <c r="AD884" s="30"/>
      <c r="AE884" s="67"/>
      <c r="AF884" s="30"/>
      <c r="AG884" s="30"/>
      <c r="AH884" s="30"/>
      <c r="AI884" s="30"/>
      <c r="AJ884" s="30"/>
      <c r="AK884" s="30"/>
      <c r="AL884" s="30"/>
      <c r="AM884" s="30"/>
      <c r="AN884" s="30"/>
      <c r="AO884" s="5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</row>
    <row r="885" spans="1:61" ht="15.5" x14ac:dyDescent="0.3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58"/>
      <c r="Z885" s="30"/>
      <c r="AA885" s="67"/>
      <c r="AB885" s="30"/>
      <c r="AC885" s="30"/>
      <c r="AD885" s="30"/>
      <c r="AE885" s="67"/>
      <c r="AF885" s="30"/>
      <c r="AG885" s="30"/>
      <c r="AH885" s="30"/>
      <c r="AI885" s="30"/>
      <c r="AJ885" s="30"/>
      <c r="AK885" s="30"/>
      <c r="AL885" s="30"/>
      <c r="AM885" s="30"/>
      <c r="AN885" s="30"/>
      <c r="AO885" s="5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</row>
    <row r="886" spans="1:61" ht="15.5" x14ac:dyDescent="0.35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58"/>
      <c r="Z886" s="30"/>
      <c r="AA886" s="67"/>
      <c r="AB886" s="30"/>
      <c r="AC886" s="30"/>
      <c r="AD886" s="30"/>
      <c r="AE886" s="67"/>
      <c r="AF886" s="30"/>
      <c r="AG886" s="30"/>
      <c r="AH886" s="30"/>
      <c r="AI886" s="30"/>
      <c r="AJ886" s="30"/>
      <c r="AK886" s="30"/>
      <c r="AL886" s="30"/>
      <c r="AM886" s="30"/>
      <c r="AN886" s="30"/>
      <c r="AO886" s="5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</row>
    <row r="887" spans="1:61" ht="15.5" x14ac:dyDescent="0.35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58"/>
      <c r="Z887" s="30"/>
      <c r="AA887" s="67"/>
      <c r="AB887" s="30"/>
      <c r="AC887" s="30"/>
      <c r="AD887" s="30"/>
      <c r="AE887" s="67"/>
      <c r="AF887" s="30"/>
      <c r="AG887" s="30"/>
      <c r="AH887" s="30"/>
      <c r="AI887" s="30"/>
      <c r="AJ887" s="30"/>
      <c r="AK887" s="30"/>
      <c r="AL887" s="30"/>
      <c r="AM887" s="30"/>
      <c r="AN887" s="30"/>
      <c r="AO887" s="5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</row>
    <row r="888" spans="1:61" ht="15.5" x14ac:dyDescent="0.35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58"/>
      <c r="Z888" s="30"/>
      <c r="AA888" s="67"/>
      <c r="AB888" s="30"/>
      <c r="AC888" s="30"/>
      <c r="AD888" s="30"/>
      <c r="AE888" s="67"/>
      <c r="AF888" s="30"/>
      <c r="AG888" s="30"/>
      <c r="AH888" s="30"/>
      <c r="AI888" s="30"/>
      <c r="AJ888" s="30"/>
      <c r="AK888" s="30"/>
      <c r="AL888" s="30"/>
      <c r="AM888" s="30"/>
      <c r="AN888" s="30"/>
      <c r="AO888" s="5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</row>
    <row r="889" spans="1:61" ht="15.5" x14ac:dyDescent="0.35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58"/>
      <c r="Z889" s="30"/>
      <c r="AA889" s="67"/>
      <c r="AB889" s="30"/>
      <c r="AC889" s="30"/>
      <c r="AD889" s="30"/>
      <c r="AE889" s="67"/>
      <c r="AF889" s="30"/>
      <c r="AG889" s="30"/>
      <c r="AH889" s="30"/>
      <c r="AI889" s="30"/>
      <c r="AJ889" s="30"/>
      <c r="AK889" s="30"/>
      <c r="AL889" s="30"/>
      <c r="AM889" s="30"/>
      <c r="AN889" s="30"/>
      <c r="AO889" s="5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</row>
    <row r="890" spans="1:61" ht="15.5" x14ac:dyDescent="0.3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58"/>
      <c r="Z890" s="30"/>
      <c r="AA890" s="67"/>
      <c r="AB890" s="30"/>
      <c r="AC890" s="30"/>
      <c r="AD890" s="30"/>
      <c r="AE890" s="67"/>
      <c r="AF890" s="30"/>
      <c r="AG890" s="30"/>
      <c r="AH890" s="30"/>
      <c r="AI890" s="30"/>
      <c r="AJ890" s="30"/>
      <c r="AK890" s="30"/>
      <c r="AL890" s="30"/>
      <c r="AM890" s="30"/>
      <c r="AN890" s="30"/>
      <c r="AO890" s="5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</row>
    <row r="891" spans="1:61" ht="15.5" x14ac:dyDescent="0.35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58"/>
      <c r="Z891" s="30"/>
      <c r="AA891" s="67"/>
      <c r="AB891" s="30"/>
      <c r="AC891" s="30"/>
      <c r="AD891" s="30"/>
      <c r="AE891" s="67"/>
      <c r="AF891" s="30"/>
      <c r="AG891" s="30"/>
      <c r="AH891" s="30"/>
      <c r="AI891" s="30"/>
      <c r="AJ891" s="30"/>
      <c r="AK891" s="30"/>
      <c r="AL891" s="30"/>
      <c r="AM891" s="30"/>
      <c r="AN891" s="30"/>
      <c r="AO891" s="5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</row>
    <row r="892" spans="1:61" ht="15.5" x14ac:dyDescent="0.35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58"/>
      <c r="Z892" s="30"/>
      <c r="AA892" s="67"/>
      <c r="AB892" s="30"/>
      <c r="AC892" s="30"/>
      <c r="AD892" s="30"/>
      <c r="AE892" s="67"/>
      <c r="AF892" s="30"/>
      <c r="AG892" s="30"/>
      <c r="AH892" s="30"/>
      <c r="AI892" s="30"/>
      <c r="AJ892" s="30"/>
      <c r="AK892" s="30"/>
      <c r="AL892" s="30"/>
      <c r="AM892" s="30"/>
      <c r="AN892" s="30"/>
      <c r="AO892" s="5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</row>
    <row r="893" spans="1:61" ht="15.5" x14ac:dyDescent="0.35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58"/>
      <c r="Z893" s="30"/>
      <c r="AA893" s="67"/>
      <c r="AB893" s="30"/>
      <c r="AC893" s="30"/>
      <c r="AD893" s="30"/>
      <c r="AE893" s="67"/>
      <c r="AF893" s="30"/>
      <c r="AG893" s="30"/>
      <c r="AH893" s="30"/>
      <c r="AI893" s="30"/>
      <c r="AJ893" s="30"/>
      <c r="AK893" s="30"/>
      <c r="AL893" s="30"/>
      <c r="AM893" s="30"/>
      <c r="AN893" s="30"/>
      <c r="AO893" s="5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</row>
    <row r="894" spans="1:61" ht="15.5" x14ac:dyDescent="0.35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58"/>
      <c r="Z894" s="30"/>
      <c r="AA894" s="67"/>
      <c r="AB894" s="30"/>
      <c r="AC894" s="30"/>
      <c r="AD894" s="30"/>
      <c r="AE894" s="67"/>
      <c r="AF894" s="30"/>
      <c r="AG894" s="30"/>
      <c r="AH894" s="30"/>
      <c r="AI894" s="30"/>
      <c r="AJ894" s="30"/>
      <c r="AK894" s="30"/>
      <c r="AL894" s="30"/>
      <c r="AM894" s="30"/>
      <c r="AN894" s="30"/>
      <c r="AO894" s="5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</row>
    <row r="895" spans="1:61" ht="15.5" x14ac:dyDescent="0.3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58"/>
      <c r="Z895" s="30"/>
      <c r="AA895" s="67"/>
      <c r="AB895" s="30"/>
      <c r="AC895" s="30"/>
      <c r="AD895" s="30"/>
      <c r="AE895" s="67"/>
      <c r="AF895" s="30"/>
      <c r="AG895" s="30"/>
      <c r="AH895" s="30"/>
      <c r="AI895" s="30"/>
      <c r="AJ895" s="30"/>
      <c r="AK895" s="30"/>
      <c r="AL895" s="30"/>
      <c r="AM895" s="30"/>
      <c r="AN895" s="30"/>
      <c r="AO895" s="5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</row>
    <row r="896" spans="1:61" ht="15.5" x14ac:dyDescent="0.35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58"/>
      <c r="Z896" s="30"/>
      <c r="AA896" s="67"/>
      <c r="AB896" s="30"/>
      <c r="AC896" s="30"/>
      <c r="AD896" s="30"/>
      <c r="AE896" s="67"/>
      <c r="AF896" s="30"/>
      <c r="AG896" s="30"/>
      <c r="AH896" s="30"/>
      <c r="AI896" s="30"/>
      <c r="AJ896" s="30"/>
      <c r="AK896" s="30"/>
      <c r="AL896" s="30"/>
      <c r="AM896" s="30"/>
      <c r="AN896" s="30"/>
      <c r="AO896" s="5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</row>
    <row r="897" spans="1:61" ht="15.5" x14ac:dyDescent="0.35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58"/>
      <c r="Z897" s="30"/>
      <c r="AA897" s="67"/>
      <c r="AB897" s="30"/>
      <c r="AC897" s="30"/>
      <c r="AD897" s="30"/>
      <c r="AE897" s="67"/>
      <c r="AF897" s="30"/>
      <c r="AG897" s="30"/>
      <c r="AH897" s="30"/>
      <c r="AI897" s="30"/>
      <c r="AJ897" s="30"/>
      <c r="AK897" s="30"/>
      <c r="AL897" s="30"/>
      <c r="AM897" s="30"/>
      <c r="AN897" s="30"/>
      <c r="AO897" s="5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</row>
    <row r="898" spans="1:61" ht="15.5" x14ac:dyDescent="0.35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58"/>
      <c r="Z898" s="30"/>
      <c r="AA898" s="67"/>
      <c r="AB898" s="30"/>
      <c r="AC898" s="30"/>
      <c r="AD898" s="30"/>
      <c r="AE898" s="67"/>
      <c r="AF898" s="30"/>
      <c r="AG898" s="30"/>
      <c r="AH898" s="30"/>
      <c r="AI898" s="30"/>
      <c r="AJ898" s="30"/>
      <c r="AK898" s="30"/>
      <c r="AL898" s="30"/>
      <c r="AM898" s="30"/>
      <c r="AN898" s="30"/>
      <c r="AO898" s="5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</row>
    <row r="899" spans="1:61" ht="15.5" x14ac:dyDescent="0.35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58"/>
      <c r="Z899" s="30"/>
      <c r="AA899" s="67"/>
      <c r="AB899" s="30"/>
      <c r="AC899" s="30"/>
      <c r="AD899" s="30"/>
      <c r="AE899" s="67"/>
      <c r="AF899" s="30"/>
      <c r="AG899" s="30"/>
      <c r="AH899" s="30"/>
      <c r="AI899" s="30"/>
      <c r="AJ899" s="30"/>
      <c r="AK899" s="30"/>
      <c r="AL899" s="30"/>
      <c r="AM899" s="30"/>
      <c r="AN899" s="30"/>
      <c r="AO899" s="5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</row>
    <row r="900" spans="1:61" ht="15.5" x14ac:dyDescent="0.35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58"/>
      <c r="Z900" s="30"/>
      <c r="AA900" s="67"/>
      <c r="AB900" s="30"/>
      <c r="AC900" s="30"/>
      <c r="AD900" s="30"/>
      <c r="AE900" s="67"/>
      <c r="AF900" s="30"/>
      <c r="AG900" s="30"/>
      <c r="AH900" s="30"/>
      <c r="AI900" s="30"/>
      <c r="AJ900" s="30"/>
      <c r="AK900" s="30"/>
      <c r="AL900" s="30"/>
      <c r="AM900" s="30"/>
      <c r="AN900" s="30"/>
      <c r="AO900" s="5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</row>
    <row r="901" spans="1:61" ht="15.5" x14ac:dyDescent="0.35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58"/>
      <c r="Z901" s="30"/>
      <c r="AA901" s="67"/>
      <c r="AB901" s="30"/>
      <c r="AC901" s="30"/>
      <c r="AD901" s="30"/>
      <c r="AE901" s="67"/>
      <c r="AF901" s="30"/>
      <c r="AG901" s="30"/>
      <c r="AH901" s="30"/>
      <c r="AI901" s="30"/>
      <c r="AJ901" s="30"/>
      <c r="AK901" s="30"/>
      <c r="AL901" s="30"/>
      <c r="AM901" s="30"/>
      <c r="AN901" s="30"/>
      <c r="AO901" s="5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</row>
    <row r="902" spans="1:61" ht="15.5" x14ac:dyDescent="0.35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58"/>
      <c r="Z902" s="30"/>
      <c r="AA902" s="67"/>
      <c r="AB902" s="30"/>
      <c r="AC902" s="30"/>
      <c r="AD902" s="30"/>
      <c r="AE902" s="67"/>
      <c r="AF902" s="30"/>
      <c r="AG902" s="30"/>
      <c r="AH902" s="30"/>
      <c r="AI902" s="30"/>
      <c r="AJ902" s="30"/>
      <c r="AK902" s="30"/>
      <c r="AL902" s="30"/>
      <c r="AM902" s="30"/>
      <c r="AN902" s="30"/>
      <c r="AO902" s="5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</row>
    <row r="903" spans="1:61" ht="15.5" x14ac:dyDescent="0.35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58"/>
      <c r="Z903" s="30"/>
      <c r="AA903" s="67"/>
      <c r="AB903" s="30"/>
      <c r="AC903" s="30"/>
      <c r="AD903" s="30"/>
      <c r="AE903" s="67"/>
      <c r="AF903" s="30"/>
      <c r="AG903" s="30"/>
      <c r="AH903" s="30"/>
      <c r="AI903" s="30"/>
      <c r="AJ903" s="30"/>
      <c r="AK903" s="30"/>
      <c r="AL903" s="30"/>
      <c r="AM903" s="30"/>
      <c r="AN903" s="30"/>
      <c r="AO903" s="5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</row>
    <row r="904" spans="1:61" ht="15.5" x14ac:dyDescent="0.3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58"/>
      <c r="Z904" s="30"/>
      <c r="AA904" s="67"/>
      <c r="AB904" s="30"/>
      <c r="AC904" s="30"/>
      <c r="AD904" s="30"/>
      <c r="AE904" s="67"/>
      <c r="AF904" s="30"/>
      <c r="AG904" s="30"/>
      <c r="AH904" s="30"/>
      <c r="AI904" s="30"/>
      <c r="AJ904" s="30"/>
      <c r="AK904" s="30"/>
      <c r="AL904" s="30"/>
      <c r="AM904" s="30"/>
      <c r="AN904" s="30"/>
      <c r="AO904" s="5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</row>
    <row r="905" spans="1:61" ht="15.5" x14ac:dyDescent="0.3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58"/>
      <c r="Z905" s="30"/>
      <c r="AA905" s="67"/>
      <c r="AB905" s="30"/>
      <c r="AC905" s="30"/>
      <c r="AD905" s="30"/>
      <c r="AE905" s="67"/>
      <c r="AF905" s="30"/>
      <c r="AG905" s="30"/>
      <c r="AH905" s="30"/>
      <c r="AI905" s="30"/>
      <c r="AJ905" s="30"/>
      <c r="AK905" s="30"/>
      <c r="AL905" s="30"/>
      <c r="AM905" s="30"/>
      <c r="AN905" s="30"/>
      <c r="AO905" s="5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</row>
    <row r="906" spans="1:61" ht="15.5" x14ac:dyDescent="0.35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58"/>
      <c r="Z906" s="30"/>
      <c r="AA906" s="67"/>
      <c r="AB906" s="30"/>
      <c r="AC906" s="30"/>
      <c r="AD906" s="30"/>
      <c r="AE906" s="67"/>
      <c r="AF906" s="30"/>
      <c r="AG906" s="30"/>
      <c r="AH906" s="30"/>
      <c r="AI906" s="30"/>
      <c r="AJ906" s="30"/>
      <c r="AK906" s="30"/>
      <c r="AL906" s="30"/>
      <c r="AM906" s="30"/>
      <c r="AN906" s="30"/>
      <c r="AO906" s="5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</row>
    <row r="907" spans="1:61" ht="15.5" x14ac:dyDescent="0.35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58"/>
      <c r="Z907" s="30"/>
      <c r="AA907" s="67"/>
      <c r="AB907" s="30"/>
      <c r="AC907" s="30"/>
      <c r="AD907" s="30"/>
      <c r="AE907" s="67"/>
      <c r="AF907" s="30"/>
      <c r="AG907" s="30"/>
      <c r="AH907" s="30"/>
      <c r="AI907" s="30"/>
      <c r="AJ907" s="30"/>
      <c r="AK907" s="30"/>
      <c r="AL907" s="30"/>
      <c r="AM907" s="30"/>
      <c r="AN907" s="30"/>
      <c r="AO907" s="5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</row>
    <row r="908" spans="1:61" ht="15.5" x14ac:dyDescent="0.35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58"/>
      <c r="Z908" s="30"/>
      <c r="AA908" s="67"/>
      <c r="AB908" s="30"/>
      <c r="AC908" s="30"/>
      <c r="AD908" s="30"/>
      <c r="AE908" s="67"/>
      <c r="AF908" s="30"/>
      <c r="AG908" s="30"/>
      <c r="AH908" s="30"/>
      <c r="AI908" s="30"/>
      <c r="AJ908" s="30"/>
      <c r="AK908" s="30"/>
      <c r="AL908" s="30"/>
      <c r="AM908" s="30"/>
      <c r="AN908" s="30"/>
      <c r="AO908" s="5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</row>
    <row r="909" spans="1:61" ht="15.5" x14ac:dyDescent="0.35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58"/>
      <c r="Z909" s="30"/>
      <c r="AA909" s="67"/>
      <c r="AB909" s="30"/>
      <c r="AC909" s="30"/>
      <c r="AD909" s="30"/>
      <c r="AE909" s="67"/>
      <c r="AF909" s="30"/>
      <c r="AG909" s="30"/>
      <c r="AH909" s="30"/>
      <c r="AI909" s="30"/>
      <c r="AJ909" s="30"/>
      <c r="AK909" s="30"/>
      <c r="AL909" s="30"/>
      <c r="AM909" s="30"/>
      <c r="AN909" s="30"/>
      <c r="AO909" s="5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</row>
    <row r="910" spans="1:61" ht="15.5" x14ac:dyDescent="0.35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58"/>
      <c r="Z910" s="30"/>
      <c r="AA910" s="67"/>
      <c r="AB910" s="30"/>
      <c r="AC910" s="30"/>
      <c r="AD910" s="30"/>
      <c r="AE910" s="67"/>
      <c r="AF910" s="30"/>
      <c r="AG910" s="30"/>
      <c r="AH910" s="30"/>
      <c r="AI910" s="30"/>
      <c r="AJ910" s="30"/>
      <c r="AK910" s="30"/>
      <c r="AL910" s="30"/>
      <c r="AM910" s="30"/>
      <c r="AN910" s="30"/>
      <c r="AO910" s="5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</row>
    <row r="911" spans="1:61" ht="15.5" x14ac:dyDescent="0.35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58"/>
      <c r="Z911" s="30"/>
      <c r="AA911" s="67"/>
      <c r="AB911" s="30"/>
      <c r="AC911" s="30"/>
      <c r="AD911" s="30"/>
      <c r="AE911" s="67"/>
      <c r="AF911" s="30"/>
      <c r="AG911" s="30"/>
      <c r="AH911" s="30"/>
      <c r="AI911" s="30"/>
      <c r="AJ911" s="30"/>
      <c r="AK911" s="30"/>
      <c r="AL911" s="30"/>
      <c r="AM911" s="30"/>
      <c r="AN911" s="30"/>
      <c r="AO911" s="5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</row>
    <row r="912" spans="1:61" ht="15.5" x14ac:dyDescent="0.35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58"/>
      <c r="Z912" s="30"/>
      <c r="AA912" s="67"/>
      <c r="AB912" s="30"/>
      <c r="AC912" s="30"/>
      <c r="AD912" s="30"/>
      <c r="AE912" s="67"/>
      <c r="AF912" s="30"/>
      <c r="AG912" s="30"/>
      <c r="AH912" s="30"/>
      <c r="AI912" s="30"/>
      <c r="AJ912" s="30"/>
      <c r="AK912" s="30"/>
      <c r="AL912" s="30"/>
      <c r="AM912" s="30"/>
      <c r="AN912" s="30"/>
      <c r="AO912" s="5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</row>
    <row r="913" spans="1:61" ht="15.5" x14ac:dyDescent="0.35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58"/>
      <c r="Z913" s="30"/>
      <c r="AA913" s="67"/>
      <c r="AB913" s="30"/>
      <c r="AC913" s="30"/>
      <c r="AD913" s="30"/>
      <c r="AE913" s="67"/>
      <c r="AF913" s="30"/>
      <c r="AG913" s="30"/>
      <c r="AH913" s="30"/>
      <c r="AI913" s="30"/>
      <c r="AJ913" s="30"/>
      <c r="AK913" s="30"/>
      <c r="AL913" s="30"/>
      <c r="AM913" s="30"/>
      <c r="AN913" s="30"/>
      <c r="AO913" s="5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30"/>
      <c r="BI913" s="30"/>
    </row>
    <row r="914" spans="1:61" ht="15.5" x14ac:dyDescent="0.35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58"/>
      <c r="Z914" s="30"/>
      <c r="AA914" s="67"/>
      <c r="AB914" s="30"/>
      <c r="AC914" s="30"/>
      <c r="AD914" s="30"/>
      <c r="AE914" s="67"/>
      <c r="AF914" s="30"/>
      <c r="AG914" s="30"/>
      <c r="AH914" s="30"/>
      <c r="AI914" s="30"/>
      <c r="AJ914" s="30"/>
      <c r="AK914" s="30"/>
      <c r="AL914" s="30"/>
      <c r="AM914" s="30"/>
      <c r="AN914" s="30"/>
      <c r="AO914" s="5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  <c r="BI914" s="30"/>
    </row>
    <row r="915" spans="1:61" ht="15.5" x14ac:dyDescent="0.3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58"/>
      <c r="Z915" s="30"/>
      <c r="AA915" s="67"/>
      <c r="AB915" s="30"/>
      <c r="AC915" s="30"/>
      <c r="AD915" s="30"/>
      <c r="AE915" s="67"/>
      <c r="AF915" s="30"/>
      <c r="AG915" s="30"/>
      <c r="AH915" s="30"/>
      <c r="AI915" s="30"/>
      <c r="AJ915" s="30"/>
      <c r="AK915" s="30"/>
      <c r="AL915" s="30"/>
      <c r="AM915" s="30"/>
      <c r="AN915" s="30"/>
      <c r="AO915" s="5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  <c r="BI915" s="30"/>
    </row>
    <row r="916" spans="1:61" ht="15.5" x14ac:dyDescent="0.35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58"/>
      <c r="Z916" s="30"/>
      <c r="AA916" s="67"/>
      <c r="AB916" s="30"/>
      <c r="AC916" s="30"/>
      <c r="AD916" s="30"/>
      <c r="AE916" s="67"/>
      <c r="AF916" s="30"/>
      <c r="AG916" s="30"/>
      <c r="AH916" s="30"/>
      <c r="AI916" s="30"/>
      <c r="AJ916" s="30"/>
      <c r="AK916" s="30"/>
      <c r="AL916" s="30"/>
      <c r="AM916" s="30"/>
      <c r="AN916" s="30"/>
      <c r="AO916" s="5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  <c r="BI916" s="30"/>
    </row>
    <row r="917" spans="1:61" ht="15.5" x14ac:dyDescent="0.35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58"/>
      <c r="Z917" s="30"/>
      <c r="AA917" s="67"/>
      <c r="AB917" s="30"/>
      <c r="AC917" s="30"/>
      <c r="AD917" s="30"/>
      <c r="AE917" s="67"/>
      <c r="AF917" s="30"/>
      <c r="AG917" s="30"/>
      <c r="AH917" s="30"/>
      <c r="AI917" s="30"/>
      <c r="AJ917" s="30"/>
      <c r="AK917" s="30"/>
      <c r="AL917" s="30"/>
      <c r="AM917" s="30"/>
      <c r="AN917" s="30"/>
      <c r="AO917" s="5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  <c r="BI917" s="30"/>
    </row>
    <row r="918" spans="1:61" ht="15.5" x14ac:dyDescent="0.35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58"/>
      <c r="Z918" s="30"/>
      <c r="AA918" s="67"/>
      <c r="AB918" s="30"/>
      <c r="AC918" s="30"/>
      <c r="AD918" s="30"/>
      <c r="AE918" s="67"/>
      <c r="AF918" s="30"/>
      <c r="AG918" s="30"/>
      <c r="AH918" s="30"/>
      <c r="AI918" s="30"/>
      <c r="AJ918" s="30"/>
      <c r="AK918" s="30"/>
      <c r="AL918" s="30"/>
      <c r="AM918" s="30"/>
      <c r="AN918" s="30"/>
      <c r="AO918" s="5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  <c r="BI918" s="30"/>
    </row>
    <row r="919" spans="1:61" ht="15.5" x14ac:dyDescent="0.35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58"/>
      <c r="Z919" s="30"/>
      <c r="AA919" s="67"/>
      <c r="AB919" s="30"/>
      <c r="AC919" s="30"/>
      <c r="AD919" s="30"/>
      <c r="AE919" s="67"/>
      <c r="AF919" s="30"/>
      <c r="AG919" s="30"/>
      <c r="AH919" s="30"/>
      <c r="AI919" s="30"/>
      <c r="AJ919" s="30"/>
      <c r="AK919" s="30"/>
      <c r="AL919" s="30"/>
      <c r="AM919" s="30"/>
      <c r="AN919" s="30"/>
      <c r="AO919" s="5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  <c r="BI919" s="30"/>
    </row>
    <row r="920" spans="1:61" ht="15.5" x14ac:dyDescent="0.35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58"/>
      <c r="Z920" s="30"/>
      <c r="AA920" s="67"/>
      <c r="AB920" s="30"/>
      <c r="AC920" s="30"/>
      <c r="AD920" s="30"/>
      <c r="AE920" s="67"/>
      <c r="AF920" s="30"/>
      <c r="AG920" s="30"/>
      <c r="AH920" s="30"/>
      <c r="AI920" s="30"/>
      <c r="AJ920" s="30"/>
      <c r="AK920" s="30"/>
      <c r="AL920" s="30"/>
      <c r="AM920" s="30"/>
      <c r="AN920" s="30"/>
      <c r="AO920" s="5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  <c r="BI920" s="30"/>
    </row>
    <row r="921" spans="1:61" ht="15.5" x14ac:dyDescent="0.35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58"/>
      <c r="Z921" s="30"/>
      <c r="AA921" s="67"/>
      <c r="AB921" s="30"/>
      <c r="AC921" s="30"/>
      <c r="AD921" s="30"/>
      <c r="AE921" s="67"/>
      <c r="AF921" s="30"/>
      <c r="AG921" s="30"/>
      <c r="AH921" s="30"/>
      <c r="AI921" s="30"/>
      <c r="AJ921" s="30"/>
      <c r="AK921" s="30"/>
      <c r="AL921" s="30"/>
      <c r="AM921" s="30"/>
      <c r="AN921" s="30"/>
      <c r="AO921" s="5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</row>
    <row r="922" spans="1:61" ht="15.5" x14ac:dyDescent="0.35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58"/>
      <c r="Z922" s="30"/>
      <c r="AA922" s="67"/>
      <c r="AB922" s="30"/>
      <c r="AC922" s="30"/>
      <c r="AD922" s="30"/>
      <c r="AE922" s="67"/>
      <c r="AF922" s="30"/>
      <c r="AG922" s="30"/>
      <c r="AH922" s="30"/>
      <c r="AI922" s="30"/>
      <c r="AJ922" s="30"/>
      <c r="AK922" s="30"/>
      <c r="AL922" s="30"/>
      <c r="AM922" s="30"/>
      <c r="AN922" s="30"/>
      <c r="AO922" s="5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  <c r="BI922" s="30"/>
    </row>
    <row r="923" spans="1:61" ht="15.5" x14ac:dyDescent="0.35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58"/>
      <c r="Z923" s="30"/>
      <c r="AA923" s="67"/>
      <c r="AB923" s="30"/>
      <c r="AC923" s="30"/>
      <c r="AD923" s="30"/>
      <c r="AE923" s="67"/>
      <c r="AF923" s="30"/>
      <c r="AG923" s="30"/>
      <c r="AH923" s="30"/>
      <c r="AI923" s="30"/>
      <c r="AJ923" s="30"/>
      <c r="AK923" s="30"/>
      <c r="AL923" s="30"/>
      <c r="AM923" s="30"/>
      <c r="AN923" s="30"/>
      <c r="AO923" s="5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</row>
    <row r="924" spans="1:61" ht="15.5" x14ac:dyDescent="0.35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58"/>
      <c r="Z924" s="30"/>
      <c r="AA924" s="67"/>
      <c r="AB924" s="30"/>
      <c r="AC924" s="30"/>
      <c r="AD924" s="30"/>
      <c r="AE924" s="67"/>
      <c r="AF924" s="30"/>
      <c r="AG924" s="30"/>
      <c r="AH924" s="30"/>
      <c r="AI924" s="30"/>
      <c r="AJ924" s="30"/>
      <c r="AK924" s="30"/>
      <c r="AL924" s="30"/>
      <c r="AM924" s="30"/>
      <c r="AN924" s="30"/>
      <c r="AO924" s="5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  <c r="BI924" s="30"/>
    </row>
    <row r="925" spans="1:61" ht="15.5" x14ac:dyDescent="0.3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58"/>
      <c r="Z925" s="30"/>
      <c r="AA925" s="67"/>
      <c r="AB925" s="30"/>
      <c r="AC925" s="30"/>
      <c r="AD925" s="30"/>
      <c r="AE925" s="67"/>
      <c r="AF925" s="30"/>
      <c r="AG925" s="30"/>
      <c r="AH925" s="30"/>
      <c r="AI925" s="30"/>
      <c r="AJ925" s="30"/>
      <c r="AK925" s="30"/>
      <c r="AL925" s="30"/>
      <c r="AM925" s="30"/>
      <c r="AN925" s="30"/>
      <c r="AO925" s="5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  <c r="BI925" s="30"/>
    </row>
    <row r="926" spans="1:61" ht="15.5" x14ac:dyDescent="0.35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58"/>
      <c r="Z926" s="30"/>
      <c r="AA926" s="67"/>
      <c r="AB926" s="30"/>
      <c r="AC926" s="30"/>
      <c r="AD926" s="30"/>
      <c r="AE926" s="67"/>
      <c r="AF926" s="30"/>
      <c r="AG926" s="30"/>
      <c r="AH926" s="30"/>
      <c r="AI926" s="30"/>
      <c r="AJ926" s="30"/>
      <c r="AK926" s="30"/>
      <c r="AL926" s="30"/>
      <c r="AM926" s="30"/>
      <c r="AN926" s="30"/>
      <c r="AO926" s="5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  <c r="BI926" s="30"/>
    </row>
    <row r="927" spans="1:61" ht="15.5" x14ac:dyDescent="0.35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58"/>
      <c r="Z927" s="30"/>
      <c r="AA927" s="67"/>
      <c r="AB927" s="30"/>
      <c r="AC927" s="30"/>
      <c r="AD927" s="30"/>
      <c r="AE927" s="67"/>
      <c r="AF927" s="30"/>
      <c r="AG927" s="30"/>
      <c r="AH927" s="30"/>
      <c r="AI927" s="30"/>
      <c r="AJ927" s="30"/>
      <c r="AK927" s="30"/>
      <c r="AL927" s="30"/>
      <c r="AM927" s="30"/>
      <c r="AN927" s="30"/>
      <c r="AO927" s="5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  <c r="BI927" s="30"/>
    </row>
    <row r="928" spans="1:61" ht="15.5" x14ac:dyDescent="0.35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58"/>
      <c r="Z928" s="30"/>
      <c r="AA928" s="67"/>
      <c r="AB928" s="30"/>
      <c r="AC928" s="30"/>
      <c r="AD928" s="30"/>
      <c r="AE928" s="67"/>
      <c r="AF928" s="30"/>
      <c r="AG928" s="30"/>
      <c r="AH928" s="30"/>
      <c r="AI928" s="30"/>
      <c r="AJ928" s="30"/>
      <c r="AK928" s="30"/>
      <c r="AL928" s="30"/>
      <c r="AM928" s="30"/>
      <c r="AN928" s="30"/>
      <c r="AO928" s="5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30"/>
      <c r="BI928" s="30"/>
    </row>
    <row r="929" spans="1:61" ht="15.5" x14ac:dyDescent="0.35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58"/>
      <c r="Z929" s="30"/>
      <c r="AA929" s="67"/>
      <c r="AB929" s="30"/>
      <c r="AC929" s="30"/>
      <c r="AD929" s="30"/>
      <c r="AE929" s="67"/>
      <c r="AF929" s="30"/>
      <c r="AG929" s="30"/>
      <c r="AH929" s="30"/>
      <c r="AI929" s="30"/>
      <c r="AJ929" s="30"/>
      <c r="AK929" s="30"/>
      <c r="AL929" s="30"/>
      <c r="AM929" s="30"/>
      <c r="AN929" s="30"/>
      <c r="AO929" s="5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  <c r="BI929" s="30"/>
    </row>
    <row r="930" spans="1:61" ht="15.5" x14ac:dyDescent="0.35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58"/>
      <c r="Z930" s="30"/>
      <c r="AA930" s="67"/>
      <c r="AB930" s="30"/>
      <c r="AC930" s="30"/>
      <c r="AD930" s="30"/>
      <c r="AE930" s="67"/>
      <c r="AF930" s="30"/>
      <c r="AG930" s="30"/>
      <c r="AH930" s="30"/>
      <c r="AI930" s="30"/>
      <c r="AJ930" s="30"/>
      <c r="AK930" s="30"/>
      <c r="AL930" s="30"/>
      <c r="AM930" s="30"/>
      <c r="AN930" s="30"/>
      <c r="AO930" s="5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  <c r="BI930" s="30"/>
    </row>
    <row r="931" spans="1:61" ht="15.5" x14ac:dyDescent="0.35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58"/>
      <c r="Z931" s="30"/>
      <c r="AA931" s="67"/>
      <c r="AB931" s="30"/>
      <c r="AC931" s="30"/>
      <c r="AD931" s="30"/>
      <c r="AE931" s="67"/>
      <c r="AF931" s="30"/>
      <c r="AG931" s="30"/>
      <c r="AH931" s="30"/>
      <c r="AI931" s="30"/>
      <c r="AJ931" s="30"/>
      <c r="AK931" s="30"/>
      <c r="AL931" s="30"/>
      <c r="AM931" s="30"/>
      <c r="AN931" s="30"/>
      <c r="AO931" s="5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  <c r="BI931" s="30"/>
    </row>
    <row r="932" spans="1:61" ht="15.5" x14ac:dyDescent="0.35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58"/>
      <c r="Z932" s="30"/>
      <c r="AA932" s="67"/>
      <c r="AB932" s="30"/>
      <c r="AC932" s="30"/>
      <c r="AD932" s="30"/>
      <c r="AE932" s="67"/>
      <c r="AF932" s="30"/>
      <c r="AG932" s="30"/>
      <c r="AH932" s="30"/>
      <c r="AI932" s="30"/>
      <c r="AJ932" s="30"/>
      <c r="AK932" s="30"/>
      <c r="AL932" s="30"/>
      <c r="AM932" s="30"/>
      <c r="AN932" s="30"/>
      <c r="AO932" s="5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  <c r="BI932" s="30"/>
    </row>
    <row r="933" spans="1:61" ht="15.5" x14ac:dyDescent="0.35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58"/>
      <c r="Z933" s="30"/>
      <c r="AA933" s="67"/>
      <c r="AB933" s="30"/>
      <c r="AC933" s="30"/>
      <c r="AD933" s="30"/>
      <c r="AE933" s="67"/>
      <c r="AF933" s="30"/>
      <c r="AG933" s="30"/>
      <c r="AH933" s="30"/>
      <c r="AI933" s="30"/>
      <c r="AJ933" s="30"/>
      <c r="AK933" s="30"/>
      <c r="AL933" s="30"/>
      <c r="AM933" s="30"/>
      <c r="AN933" s="30"/>
      <c r="AO933" s="5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  <c r="BI933" s="30"/>
    </row>
    <row r="934" spans="1:61" ht="15.5" x14ac:dyDescent="0.35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58"/>
      <c r="Z934" s="30"/>
      <c r="AA934" s="67"/>
      <c r="AB934" s="30"/>
      <c r="AC934" s="30"/>
      <c r="AD934" s="30"/>
      <c r="AE934" s="67"/>
      <c r="AF934" s="30"/>
      <c r="AG934" s="30"/>
      <c r="AH934" s="30"/>
      <c r="AI934" s="30"/>
      <c r="AJ934" s="30"/>
      <c r="AK934" s="30"/>
      <c r="AL934" s="30"/>
      <c r="AM934" s="30"/>
      <c r="AN934" s="30"/>
      <c r="AO934" s="5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  <c r="BI934" s="30"/>
    </row>
    <row r="935" spans="1:61" ht="15.5" x14ac:dyDescent="0.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58"/>
      <c r="Z935" s="30"/>
      <c r="AA935" s="67"/>
      <c r="AB935" s="30"/>
      <c r="AC935" s="30"/>
      <c r="AD935" s="30"/>
      <c r="AE935" s="67"/>
      <c r="AF935" s="30"/>
      <c r="AG935" s="30"/>
      <c r="AH935" s="30"/>
      <c r="AI935" s="30"/>
      <c r="AJ935" s="30"/>
      <c r="AK935" s="30"/>
      <c r="AL935" s="30"/>
      <c r="AM935" s="30"/>
      <c r="AN935" s="30"/>
      <c r="AO935" s="5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  <c r="BI935" s="30"/>
    </row>
    <row r="936" spans="1:61" ht="15.5" x14ac:dyDescent="0.35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58"/>
      <c r="Z936" s="30"/>
      <c r="AA936" s="67"/>
      <c r="AB936" s="30"/>
      <c r="AC936" s="30"/>
      <c r="AD936" s="30"/>
      <c r="AE936" s="67"/>
      <c r="AF936" s="30"/>
      <c r="AG936" s="30"/>
      <c r="AH936" s="30"/>
      <c r="AI936" s="30"/>
      <c r="AJ936" s="30"/>
      <c r="AK936" s="30"/>
      <c r="AL936" s="30"/>
      <c r="AM936" s="30"/>
      <c r="AN936" s="30"/>
      <c r="AO936" s="5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  <c r="BI936" s="30"/>
    </row>
    <row r="937" spans="1:61" ht="15.5" x14ac:dyDescent="0.35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58"/>
      <c r="Z937" s="30"/>
      <c r="AA937" s="67"/>
      <c r="AB937" s="30"/>
      <c r="AC937" s="30"/>
      <c r="AD937" s="30"/>
      <c r="AE937" s="67"/>
      <c r="AF937" s="30"/>
      <c r="AG937" s="30"/>
      <c r="AH937" s="30"/>
      <c r="AI937" s="30"/>
      <c r="AJ937" s="30"/>
      <c r="AK937" s="30"/>
      <c r="AL937" s="30"/>
      <c r="AM937" s="30"/>
      <c r="AN937" s="30"/>
      <c r="AO937" s="5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</row>
    <row r="938" spans="1:61" ht="15.5" x14ac:dyDescent="0.35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58"/>
      <c r="Z938" s="30"/>
      <c r="AA938" s="67"/>
      <c r="AB938" s="30"/>
      <c r="AC938" s="30"/>
      <c r="AD938" s="30"/>
      <c r="AE938" s="67"/>
      <c r="AF938" s="30"/>
      <c r="AG938" s="30"/>
      <c r="AH938" s="30"/>
      <c r="AI938" s="30"/>
      <c r="AJ938" s="30"/>
      <c r="AK938" s="30"/>
      <c r="AL938" s="30"/>
      <c r="AM938" s="30"/>
      <c r="AN938" s="30"/>
      <c r="AO938" s="5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</row>
    <row r="939" spans="1:61" ht="15.5" x14ac:dyDescent="0.35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58"/>
      <c r="Z939" s="30"/>
      <c r="AA939" s="67"/>
      <c r="AB939" s="30"/>
      <c r="AC939" s="30"/>
      <c r="AD939" s="30"/>
      <c r="AE939" s="67"/>
      <c r="AF939" s="30"/>
      <c r="AG939" s="30"/>
      <c r="AH939" s="30"/>
      <c r="AI939" s="30"/>
      <c r="AJ939" s="30"/>
      <c r="AK939" s="30"/>
      <c r="AL939" s="30"/>
      <c r="AM939" s="30"/>
      <c r="AN939" s="30"/>
      <c r="AO939" s="5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  <c r="BI939" s="30"/>
    </row>
    <row r="940" spans="1:61" ht="15.5" x14ac:dyDescent="0.35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58"/>
      <c r="Z940" s="30"/>
      <c r="AA940" s="67"/>
      <c r="AB940" s="30"/>
      <c r="AC940" s="30"/>
      <c r="AD940" s="30"/>
      <c r="AE940" s="67"/>
      <c r="AF940" s="30"/>
      <c r="AG940" s="30"/>
      <c r="AH940" s="30"/>
      <c r="AI940" s="30"/>
      <c r="AJ940" s="30"/>
      <c r="AK940" s="30"/>
      <c r="AL940" s="30"/>
      <c r="AM940" s="30"/>
      <c r="AN940" s="30"/>
      <c r="AO940" s="5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  <c r="BI940" s="30"/>
    </row>
    <row r="941" spans="1:61" ht="15.5" x14ac:dyDescent="0.35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58"/>
      <c r="Z941" s="30"/>
      <c r="AA941" s="67"/>
      <c r="AB941" s="30"/>
      <c r="AC941" s="30"/>
      <c r="AD941" s="30"/>
      <c r="AE941" s="67"/>
      <c r="AF941" s="30"/>
      <c r="AG941" s="30"/>
      <c r="AH941" s="30"/>
      <c r="AI941" s="30"/>
      <c r="AJ941" s="30"/>
      <c r="AK941" s="30"/>
      <c r="AL941" s="30"/>
      <c r="AM941" s="30"/>
      <c r="AN941" s="30"/>
      <c r="AO941" s="5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</row>
    <row r="942" spans="1:61" ht="15.5" x14ac:dyDescent="0.35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58"/>
      <c r="Z942" s="30"/>
      <c r="AA942" s="67"/>
      <c r="AB942" s="30"/>
      <c r="AC942" s="30"/>
      <c r="AD942" s="30"/>
      <c r="AE942" s="67"/>
      <c r="AF942" s="30"/>
      <c r="AG942" s="30"/>
      <c r="AH942" s="30"/>
      <c r="AI942" s="30"/>
      <c r="AJ942" s="30"/>
      <c r="AK942" s="30"/>
      <c r="AL942" s="30"/>
      <c r="AM942" s="30"/>
      <c r="AN942" s="30"/>
      <c r="AO942" s="5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  <c r="BI942" s="30"/>
    </row>
    <row r="943" spans="1:61" ht="15.5" x14ac:dyDescent="0.35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58"/>
      <c r="Z943" s="30"/>
      <c r="AA943" s="67"/>
      <c r="AB943" s="30"/>
      <c r="AC943" s="30"/>
      <c r="AD943" s="30"/>
      <c r="AE943" s="67"/>
      <c r="AF943" s="30"/>
      <c r="AG943" s="30"/>
      <c r="AH943" s="30"/>
      <c r="AI943" s="30"/>
      <c r="AJ943" s="30"/>
      <c r="AK943" s="30"/>
      <c r="AL943" s="30"/>
      <c r="AM943" s="30"/>
      <c r="AN943" s="30"/>
      <c r="AO943" s="5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  <c r="BI943" s="30"/>
    </row>
    <row r="944" spans="1:61" ht="15.5" x14ac:dyDescent="0.35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58"/>
      <c r="Z944" s="30"/>
      <c r="AA944" s="67"/>
      <c r="AB944" s="30"/>
      <c r="AC944" s="30"/>
      <c r="AD944" s="30"/>
      <c r="AE944" s="67"/>
      <c r="AF944" s="30"/>
      <c r="AG944" s="30"/>
      <c r="AH944" s="30"/>
      <c r="AI944" s="30"/>
      <c r="AJ944" s="30"/>
      <c r="AK944" s="30"/>
      <c r="AL944" s="30"/>
      <c r="AM944" s="30"/>
      <c r="AN944" s="30"/>
      <c r="AO944" s="5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30"/>
      <c r="BI944" s="30"/>
    </row>
    <row r="945" spans="1:61" ht="15.5" x14ac:dyDescent="0.3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58"/>
      <c r="Z945" s="30"/>
      <c r="AA945" s="67"/>
      <c r="AB945" s="30"/>
      <c r="AC945" s="30"/>
      <c r="AD945" s="30"/>
      <c r="AE945" s="67"/>
      <c r="AF945" s="30"/>
      <c r="AG945" s="30"/>
      <c r="AH945" s="30"/>
      <c r="AI945" s="30"/>
      <c r="AJ945" s="30"/>
      <c r="AK945" s="30"/>
      <c r="AL945" s="30"/>
      <c r="AM945" s="30"/>
      <c r="AN945" s="30"/>
      <c r="AO945" s="5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30"/>
      <c r="BI945" s="30"/>
    </row>
    <row r="946" spans="1:61" ht="15.5" x14ac:dyDescent="0.35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58"/>
      <c r="Z946" s="30"/>
      <c r="AA946" s="67"/>
      <c r="AB946" s="30"/>
      <c r="AC946" s="30"/>
      <c r="AD946" s="30"/>
      <c r="AE946" s="67"/>
      <c r="AF946" s="30"/>
      <c r="AG946" s="30"/>
      <c r="AH946" s="30"/>
      <c r="AI946" s="30"/>
      <c r="AJ946" s="30"/>
      <c r="AK946" s="30"/>
      <c r="AL946" s="30"/>
      <c r="AM946" s="30"/>
      <c r="AN946" s="30"/>
      <c r="AO946" s="5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30"/>
      <c r="BI946" s="30"/>
    </row>
    <row r="947" spans="1:61" ht="15.5" x14ac:dyDescent="0.35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58"/>
      <c r="Z947" s="30"/>
      <c r="AA947" s="67"/>
      <c r="AB947" s="30"/>
      <c r="AC947" s="30"/>
      <c r="AD947" s="30"/>
      <c r="AE947" s="67"/>
      <c r="AF947" s="30"/>
      <c r="AG947" s="30"/>
      <c r="AH947" s="30"/>
      <c r="AI947" s="30"/>
      <c r="AJ947" s="30"/>
      <c r="AK947" s="30"/>
      <c r="AL947" s="30"/>
      <c r="AM947" s="30"/>
      <c r="AN947" s="30"/>
      <c r="AO947" s="5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30"/>
      <c r="BI947" s="30"/>
    </row>
    <row r="948" spans="1:61" ht="15.5" x14ac:dyDescent="0.35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58"/>
      <c r="Z948" s="30"/>
      <c r="AA948" s="67"/>
      <c r="AB948" s="30"/>
      <c r="AC948" s="30"/>
      <c r="AD948" s="30"/>
      <c r="AE948" s="67"/>
      <c r="AF948" s="30"/>
      <c r="AG948" s="30"/>
      <c r="AH948" s="30"/>
      <c r="AI948" s="30"/>
      <c r="AJ948" s="30"/>
      <c r="AK948" s="30"/>
      <c r="AL948" s="30"/>
      <c r="AM948" s="30"/>
      <c r="AN948" s="30"/>
      <c r="AO948" s="5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30"/>
      <c r="BI948" s="30"/>
    </row>
    <row r="949" spans="1:61" ht="15.5" x14ac:dyDescent="0.35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58"/>
      <c r="Z949" s="30"/>
      <c r="AA949" s="67"/>
      <c r="AB949" s="30"/>
      <c r="AC949" s="30"/>
      <c r="AD949" s="30"/>
      <c r="AE949" s="67"/>
      <c r="AF949" s="30"/>
      <c r="AG949" s="30"/>
      <c r="AH949" s="30"/>
      <c r="AI949" s="30"/>
      <c r="AJ949" s="30"/>
      <c r="AK949" s="30"/>
      <c r="AL949" s="30"/>
      <c r="AM949" s="30"/>
      <c r="AN949" s="30"/>
      <c r="AO949" s="5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  <c r="BF949" s="30"/>
      <c r="BG949" s="30"/>
      <c r="BH949" s="30"/>
      <c r="BI949" s="30"/>
    </row>
    <row r="950" spans="1:61" ht="15.5" x14ac:dyDescent="0.35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58"/>
      <c r="Z950" s="30"/>
      <c r="AA950" s="67"/>
      <c r="AB950" s="30"/>
      <c r="AC950" s="30"/>
      <c r="AD950" s="30"/>
      <c r="AE950" s="67"/>
      <c r="AF950" s="30"/>
      <c r="AG950" s="30"/>
      <c r="AH950" s="30"/>
      <c r="AI950" s="30"/>
      <c r="AJ950" s="30"/>
      <c r="AK950" s="30"/>
      <c r="AL950" s="30"/>
      <c r="AM950" s="30"/>
      <c r="AN950" s="30"/>
      <c r="AO950" s="5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  <c r="BI950" s="30"/>
    </row>
    <row r="951" spans="1:61" ht="15.5" x14ac:dyDescent="0.35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58"/>
      <c r="Z951" s="30"/>
      <c r="AA951" s="67"/>
      <c r="AB951" s="30"/>
      <c r="AC951" s="30"/>
      <c r="AD951" s="30"/>
      <c r="AE951" s="67"/>
      <c r="AF951" s="30"/>
      <c r="AG951" s="30"/>
      <c r="AH951" s="30"/>
      <c r="AI951" s="30"/>
      <c r="AJ951" s="30"/>
      <c r="AK951" s="30"/>
      <c r="AL951" s="30"/>
      <c r="AM951" s="30"/>
      <c r="AN951" s="30"/>
      <c r="AO951" s="5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30"/>
      <c r="BI951" s="30"/>
    </row>
    <row r="952" spans="1:61" ht="15.5" x14ac:dyDescent="0.35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58"/>
      <c r="Z952" s="30"/>
      <c r="AA952" s="67"/>
      <c r="AB952" s="30"/>
      <c r="AC952" s="30"/>
      <c r="AD952" s="30"/>
      <c r="AE952" s="67"/>
      <c r="AF952" s="30"/>
      <c r="AG952" s="30"/>
      <c r="AH952" s="30"/>
      <c r="AI952" s="30"/>
      <c r="AJ952" s="30"/>
      <c r="AK952" s="30"/>
      <c r="AL952" s="30"/>
      <c r="AM952" s="30"/>
      <c r="AN952" s="30"/>
      <c r="AO952" s="5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30"/>
      <c r="BI952" s="30"/>
    </row>
    <row r="953" spans="1:61" ht="15.5" x14ac:dyDescent="0.35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58"/>
      <c r="Z953" s="30"/>
      <c r="AA953" s="67"/>
      <c r="AB953" s="30"/>
      <c r="AC953" s="30"/>
      <c r="AD953" s="30"/>
      <c r="AE953" s="67"/>
      <c r="AF953" s="30"/>
      <c r="AG953" s="30"/>
      <c r="AH953" s="30"/>
      <c r="AI953" s="30"/>
      <c r="AJ953" s="30"/>
      <c r="AK953" s="30"/>
      <c r="AL953" s="30"/>
      <c r="AM953" s="30"/>
      <c r="AN953" s="30"/>
      <c r="AO953" s="5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  <c r="BI953" s="30"/>
    </row>
    <row r="954" spans="1:61" ht="15.5" x14ac:dyDescent="0.35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58"/>
      <c r="Z954" s="30"/>
      <c r="AA954" s="67"/>
      <c r="AB954" s="30"/>
      <c r="AC954" s="30"/>
      <c r="AD954" s="30"/>
      <c r="AE954" s="67"/>
      <c r="AF954" s="30"/>
      <c r="AG954" s="30"/>
      <c r="AH954" s="30"/>
      <c r="AI954" s="30"/>
      <c r="AJ954" s="30"/>
      <c r="AK954" s="30"/>
      <c r="AL954" s="30"/>
      <c r="AM954" s="30"/>
      <c r="AN954" s="30"/>
      <c r="AO954" s="5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  <c r="BI954" s="30"/>
    </row>
    <row r="955" spans="1:61" ht="15.5" x14ac:dyDescent="0.3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58"/>
      <c r="Z955" s="30"/>
      <c r="AA955" s="67"/>
      <c r="AB955" s="30"/>
      <c r="AC955" s="30"/>
      <c r="AD955" s="30"/>
      <c r="AE955" s="67"/>
      <c r="AF955" s="30"/>
      <c r="AG955" s="30"/>
      <c r="AH955" s="30"/>
      <c r="AI955" s="30"/>
      <c r="AJ955" s="30"/>
      <c r="AK955" s="30"/>
      <c r="AL955" s="30"/>
      <c r="AM955" s="30"/>
      <c r="AN955" s="30"/>
      <c r="AO955" s="5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</row>
    <row r="956" spans="1:61" ht="15.5" x14ac:dyDescent="0.35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58"/>
      <c r="Z956" s="30"/>
      <c r="AA956" s="67"/>
      <c r="AB956" s="30"/>
      <c r="AC956" s="30"/>
      <c r="AD956" s="30"/>
      <c r="AE956" s="67"/>
      <c r="AF956" s="30"/>
      <c r="AG956" s="30"/>
      <c r="AH956" s="30"/>
      <c r="AI956" s="30"/>
      <c r="AJ956" s="30"/>
      <c r="AK956" s="30"/>
      <c r="AL956" s="30"/>
      <c r="AM956" s="30"/>
      <c r="AN956" s="30"/>
      <c r="AO956" s="5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  <c r="BI956" s="30"/>
    </row>
    <row r="957" spans="1:61" ht="15.5" x14ac:dyDescent="0.35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58"/>
      <c r="Z957" s="30"/>
      <c r="AA957" s="67"/>
      <c r="AB957" s="30"/>
      <c r="AC957" s="30"/>
      <c r="AD957" s="30"/>
      <c r="AE957" s="67"/>
      <c r="AF957" s="30"/>
      <c r="AG957" s="30"/>
      <c r="AH957" s="30"/>
      <c r="AI957" s="30"/>
      <c r="AJ957" s="30"/>
      <c r="AK957" s="30"/>
      <c r="AL957" s="30"/>
      <c r="AM957" s="30"/>
      <c r="AN957" s="30"/>
      <c r="AO957" s="5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  <c r="BI957" s="30"/>
    </row>
    <row r="958" spans="1:61" ht="15.5" x14ac:dyDescent="0.35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58"/>
      <c r="Z958" s="30"/>
      <c r="AA958" s="67"/>
      <c r="AB958" s="30"/>
      <c r="AC958" s="30"/>
      <c r="AD958" s="30"/>
      <c r="AE958" s="67"/>
      <c r="AF958" s="30"/>
      <c r="AG958" s="30"/>
      <c r="AH958" s="30"/>
      <c r="AI958" s="30"/>
      <c r="AJ958" s="30"/>
      <c r="AK958" s="30"/>
      <c r="AL958" s="30"/>
      <c r="AM958" s="30"/>
      <c r="AN958" s="30"/>
      <c r="AO958" s="5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  <c r="BI958" s="30"/>
    </row>
    <row r="959" spans="1:61" ht="15.5" x14ac:dyDescent="0.35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58"/>
      <c r="Z959" s="30"/>
      <c r="AA959" s="67"/>
      <c r="AB959" s="30"/>
      <c r="AC959" s="30"/>
      <c r="AD959" s="30"/>
      <c r="AE959" s="67"/>
      <c r="AF959" s="30"/>
      <c r="AG959" s="30"/>
      <c r="AH959" s="30"/>
      <c r="AI959" s="30"/>
      <c r="AJ959" s="30"/>
      <c r="AK959" s="30"/>
      <c r="AL959" s="30"/>
      <c r="AM959" s="30"/>
      <c r="AN959" s="30"/>
      <c r="AO959" s="5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  <c r="BD959" s="30"/>
      <c r="BE959" s="30"/>
      <c r="BF959" s="30"/>
      <c r="BG959" s="30"/>
      <c r="BH959" s="30"/>
      <c r="BI959" s="30"/>
    </row>
    <row r="960" spans="1:61" ht="15.5" x14ac:dyDescent="0.35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58"/>
      <c r="Z960" s="30"/>
      <c r="AA960" s="67"/>
      <c r="AB960" s="30"/>
      <c r="AC960" s="30"/>
      <c r="AD960" s="30"/>
      <c r="AE960" s="67"/>
      <c r="AF960" s="30"/>
      <c r="AG960" s="30"/>
      <c r="AH960" s="30"/>
      <c r="AI960" s="30"/>
      <c r="AJ960" s="30"/>
      <c r="AK960" s="30"/>
      <c r="AL960" s="30"/>
      <c r="AM960" s="30"/>
      <c r="AN960" s="30"/>
      <c r="AO960" s="5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  <c r="BD960" s="30"/>
      <c r="BE960" s="30"/>
      <c r="BF960" s="30"/>
      <c r="BG960" s="30"/>
      <c r="BH960" s="30"/>
      <c r="BI960" s="30"/>
    </row>
    <row r="961" spans="1:61" ht="15.5" x14ac:dyDescent="0.35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58"/>
      <c r="Z961" s="30"/>
      <c r="AA961" s="67"/>
      <c r="AB961" s="30"/>
      <c r="AC961" s="30"/>
      <c r="AD961" s="30"/>
      <c r="AE961" s="67"/>
      <c r="AF961" s="30"/>
      <c r="AG961" s="30"/>
      <c r="AH961" s="30"/>
      <c r="AI961" s="30"/>
      <c r="AJ961" s="30"/>
      <c r="AK961" s="30"/>
      <c r="AL961" s="30"/>
      <c r="AM961" s="30"/>
      <c r="AN961" s="30"/>
      <c r="AO961" s="5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30"/>
      <c r="BI961" s="30"/>
    </row>
    <row r="962" spans="1:61" ht="15.5" x14ac:dyDescent="0.35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58"/>
      <c r="Z962" s="30"/>
      <c r="AA962" s="67"/>
      <c r="AB962" s="30"/>
      <c r="AC962" s="30"/>
      <c r="AD962" s="30"/>
      <c r="AE962" s="67"/>
      <c r="AF962" s="30"/>
      <c r="AG962" s="30"/>
      <c r="AH962" s="30"/>
      <c r="AI962" s="30"/>
      <c r="AJ962" s="30"/>
      <c r="AK962" s="30"/>
      <c r="AL962" s="30"/>
      <c r="AM962" s="30"/>
      <c r="AN962" s="30"/>
      <c r="AO962" s="5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30"/>
      <c r="BI962" s="30"/>
    </row>
    <row r="963" spans="1:61" ht="15.5" x14ac:dyDescent="0.35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58"/>
      <c r="Z963" s="30"/>
      <c r="AA963" s="67"/>
      <c r="AB963" s="30"/>
      <c r="AC963" s="30"/>
      <c r="AD963" s="30"/>
      <c r="AE963" s="67"/>
      <c r="AF963" s="30"/>
      <c r="AG963" s="30"/>
      <c r="AH963" s="30"/>
      <c r="AI963" s="30"/>
      <c r="AJ963" s="30"/>
      <c r="AK963" s="30"/>
      <c r="AL963" s="30"/>
      <c r="AM963" s="30"/>
      <c r="AN963" s="30"/>
      <c r="AO963" s="5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  <c r="BI963" s="30"/>
    </row>
    <row r="964" spans="1:61" ht="15.5" x14ac:dyDescent="0.35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58"/>
      <c r="Z964" s="30"/>
      <c r="AA964" s="67"/>
      <c r="AB964" s="30"/>
      <c r="AC964" s="30"/>
      <c r="AD964" s="30"/>
      <c r="AE964" s="67"/>
      <c r="AF964" s="30"/>
      <c r="AG964" s="30"/>
      <c r="AH964" s="30"/>
      <c r="AI964" s="30"/>
      <c r="AJ964" s="30"/>
      <c r="AK964" s="30"/>
      <c r="AL964" s="30"/>
      <c r="AM964" s="30"/>
      <c r="AN964" s="30"/>
      <c r="AO964" s="5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30"/>
      <c r="BI964" s="30"/>
    </row>
    <row r="965" spans="1:61" ht="15.5" x14ac:dyDescent="0.3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58"/>
      <c r="Z965" s="30"/>
      <c r="AA965" s="67"/>
      <c r="AB965" s="30"/>
      <c r="AC965" s="30"/>
      <c r="AD965" s="30"/>
      <c r="AE965" s="67"/>
      <c r="AF965" s="30"/>
      <c r="AG965" s="30"/>
      <c r="AH965" s="30"/>
      <c r="AI965" s="30"/>
      <c r="AJ965" s="30"/>
      <c r="AK965" s="30"/>
      <c r="AL965" s="30"/>
      <c r="AM965" s="30"/>
      <c r="AN965" s="30"/>
      <c r="AO965" s="5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30"/>
      <c r="BI965" s="30"/>
    </row>
    <row r="966" spans="1:61" ht="15.5" x14ac:dyDescent="0.35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58"/>
      <c r="Z966" s="30"/>
      <c r="AA966" s="67"/>
      <c r="AB966" s="30"/>
      <c r="AC966" s="30"/>
      <c r="AD966" s="30"/>
      <c r="AE966" s="67"/>
      <c r="AF966" s="30"/>
      <c r="AG966" s="30"/>
      <c r="AH966" s="30"/>
      <c r="AI966" s="30"/>
      <c r="AJ966" s="30"/>
      <c r="AK966" s="30"/>
      <c r="AL966" s="30"/>
      <c r="AM966" s="30"/>
      <c r="AN966" s="30"/>
      <c r="AO966" s="5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  <c r="BD966" s="30"/>
      <c r="BE966" s="30"/>
      <c r="BF966" s="30"/>
      <c r="BG966" s="30"/>
      <c r="BH966" s="30"/>
      <c r="BI966" s="30"/>
    </row>
    <row r="967" spans="1:61" ht="15.5" x14ac:dyDescent="0.35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58"/>
      <c r="Z967" s="30"/>
      <c r="AA967" s="67"/>
      <c r="AB967" s="30"/>
      <c r="AC967" s="30"/>
      <c r="AD967" s="30"/>
      <c r="AE967" s="67"/>
      <c r="AF967" s="30"/>
      <c r="AG967" s="30"/>
      <c r="AH967" s="30"/>
      <c r="AI967" s="30"/>
      <c r="AJ967" s="30"/>
      <c r="AK967" s="30"/>
      <c r="AL967" s="30"/>
      <c r="AM967" s="30"/>
      <c r="AN967" s="30"/>
      <c r="AO967" s="5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  <c r="BF967" s="30"/>
      <c r="BG967" s="30"/>
      <c r="BH967" s="30"/>
      <c r="BI967" s="30"/>
    </row>
    <row r="968" spans="1:61" ht="15.5" x14ac:dyDescent="0.35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58"/>
      <c r="Z968" s="30"/>
      <c r="AA968" s="67"/>
      <c r="AB968" s="30"/>
      <c r="AC968" s="30"/>
      <c r="AD968" s="30"/>
      <c r="AE968" s="67"/>
      <c r="AF968" s="30"/>
      <c r="AG968" s="30"/>
      <c r="AH968" s="30"/>
      <c r="AI968" s="30"/>
      <c r="AJ968" s="30"/>
      <c r="AK968" s="30"/>
      <c r="AL968" s="30"/>
      <c r="AM968" s="30"/>
      <c r="AN968" s="30"/>
      <c r="AO968" s="5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</row>
    <row r="969" spans="1:61" ht="15.5" x14ac:dyDescent="0.35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58"/>
      <c r="Z969" s="30"/>
      <c r="AA969" s="67"/>
      <c r="AB969" s="30"/>
      <c r="AC969" s="30"/>
      <c r="AD969" s="30"/>
      <c r="AE969" s="67"/>
      <c r="AF969" s="30"/>
      <c r="AG969" s="30"/>
      <c r="AH969" s="30"/>
      <c r="AI969" s="30"/>
      <c r="AJ969" s="30"/>
      <c r="AK969" s="30"/>
      <c r="AL969" s="30"/>
      <c r="AM969" s="30"/>
      <c r="AN969" s="30"/>
      <c r="AO969" s="5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  <c r="BD969" s="30"/>
      <c r="BE969" s="30"/>
      <c r="BF969" s="30"/>
      <c r="BG969" s="30"/>
      <c r="BH969" s="30"/>
      <c r="BI969" s="30"/>
    </row>
    <row r="970" spans="1:61" ht="15.5" x14ac:dyDescent="0.35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58"/>
      <c r="Z970" s="30"/>
      <c r="AA970" s="67"/>
      <c r="AB970" s="30"/>
      <c r="AC970" s="30"/>
      <c r="AD970" s="30"/>
      <c r="AE970" s="67"/>
      <c r="AF970" s="30"/>
      <c r="AG970" s="30"/>
      <c r="AH970" s="30"/>
      <c r="AI970" s="30"/>
      <c r="AJ970" s="30"/>
      <c r="AK970" s="30"/>
      <c r="AL970" s="30"/>
      <c r="AM970" s="30"/>
      <c r="AN970" s="30"/>
      <c r="AO970" s="5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  <c r="BD970" s="30"/>
      <c r="BE970" s="30"/>
      <c r="BF970" s="30"/>
      <c r="BG970" s="30"/>
      <c r="BH970" s="30"/>
      <c r="BI970" s="30"/>
    </row>
    <row r="971" spans="1:61" ht="15.5" x14ac:dyDescent="0.35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58"/>
      <c r="Z971" s="30"/>
      <c r="AA971" s="67"/>
      <c r="AB971" s="30"/>
      <c r="AC971" s="30"/>
      <c r="AD971" s="30"/>
      <c r="AE971" s="67"/>
      <c r="AF971" s="30"/>
      <c r="AG971" s="30"/>
      <c r="AH971" s="30"/>
      <c r="AI971" s="30"/>
      <c r="AJ971" s="30"/>
      <c r="AK971" s="30"/>
      <c r="AL971" s="30"/>
      <c r="AM971" s="30"/>
      <c r="AN971" s="30"/>
      <c r="AO971" s="5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  <c r="BD971" s="30"/>
      <c r="BE971" s="30"/>
      <c r="BF971" s="30"/>
      <c r="BG971" s="30"/>
      <c r="BH971" s="30"/>
      <c r="BI971" s="30"/>
    </row>
    <row r="972" spans="1:61" ht="15.5" x14ac:dyDescent="0.35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58"/>
      <c r="Z972" s="30"/>
      <c r="AA972" s="67"/>
      <c r="AB972" s="30"/>
      <c r="AC972" s="30"/>
      <c r="AD972" s="30"/>
      <c r="AE972" s="67"/>
      <c r="AF972" s="30"/>
      <c r="AG972" s="30"/>
      <c r="AH972" s="30"/>
      <c r="AI972" s="30"/>
      <c r="AJ972" s="30"/>
      <c r="AK972" s="30"/>
      <c r="AL972" s="30"/>
      <c r="AM972" s="30"/>
      <c r="AN972" s="30"/>
      <c r="AO972" s="5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  <c r="BD972" s="30"/>
      <c r="BE972" s="30"/>
      <c r="BF972" s="30"/>
      <c r="BG972" s="30"/>
      <c r="BH972" s="30"/>
      <c r="BI972" s="30"/>
    </row>
    <row r="973" spans="1:61" ht="15.5" x14ac:dyDescent="0.35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58"/>
      <c r="Z973" s="30"/>
      <c r="AA973" s="67"/>
      <c r="AB973" s="30"/>
      <c r="AC973" s="30"/>
      <c r="AD973" s="30"/>
      <c r="AE973" s="67"/>
      <c r="AF973" s="30"/>
      <c r="AG973" s="30"/>
      <c r="AH973" s="30"/>
      <c r="AI973" s="30"/>
      <c r="AJ973" s="30"/>
      <c r="AK973" s="30"/>
      <c r="AL973" s="30"/>
      <c r="AM973" s="30"/>
      <c r="AN973" s="30"/>
      <c r="AO973" s="5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  <c r="BD973" s="30"/>
      <c r="BE973" s="30"/>
      <c r="BF973" s="30"/>
      <c r="BG973" s="30"/>
      <c r="BH973" s="30"/>
      <c r="BI973" s="30"/>
    </row>
    <row r="974" spans="1:61" ht="15.5" x14ac:dyDescent="0.35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58"/>
      <c r="Z974" s="30"/>
      <c r="AA974" s="67"/>
      <c r="AB974" s="30"/>
      <c r="AC974" s="30"/>
      <c r="AD974" s="30"/>
      <c r="AE974" s="67"/>
      <c r="AF974" s="30"/>
      <c r="AG974" s="30"/>
      <c r="AH974" s="30"/>
      <c r="AI974" s="30"/>
      <c r="AJ974" s="30"/>
      <c r="AK974" s="30"/>
      <c r="AL974" s="30"/>
      <c r="AM974" s="30"/>
      <c r="AN974" s="30"/>
      <c r="AO974" s="5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  <c r="BD974" s="30"/>
      <c r="BE974" s="30"/>
      <c r="BF974" s="30"/>
      <c r="BG974" s="30"/>
      <c r="BH974" s="30"/>
      <c r="BI974" s="30"/>
    </row>
    <row r="975" spans="1:61" ht="15.5" x14ac:dyDescent="0.3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58"/>
      <c r="Z975" s="30"/>
      <c r="AA975" s="67"/>
      <c r="AB975" s="30"/>
      <c r="AC975" s="30"/>
      <c r="AD975" s="30"/>
      <c r="AE975" s="67"/>
      <c r="AF975" s="30"/>
      <c r="AG975" s="30"/>
      <c r="AH975" s="30"/>
      <c r="AI975" s="30"/>
      <c r="AJ975" s="30"/>
      <c r="AK975" s="30"/>
      <c r="AL975" s="30"/>
      <c r="AM975" s="30"/>
      <c r="AN975" s="30"/>
      <c r="AO975" s="5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</row>
    <row r="976" spans="1:61" ht="15.5" x14ac:dyDescent="0.35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58"/>
      <c r="Z976" s="30"/>
      <c r="AA976" s="67"/>
      <c r="AB976" s="30"/>
      <c r="AC976" s="30"/>
      <c r="AD976" s="30"/>
      <c r="AE976" s="67"/>
      <c r="AF976" s="30"/>
      <c r="AG976" s="30"/>
      <c r="AH976" s="30"/>
      <c r="AI976" s="30"/>
      <c r="AJ976" s="30"/>
      <c r="AK976" s="30"/>
      <c r="AL976" s="30"/>
      <c r="AM976" s="30"/>
      <c r="AN976" s="30"/>
      <c r="AO976" s="5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0"/>
      <c r="BG976" s="30"/>
      <c r="BH976" s="30"/>
      <c r="BI976" s="30"/>
    </row>
    <row r="977" spans="1:61" ht="15.5" x14ac:dyDescent="0.35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58"/>
      <c r="Z977" s="30"/>
      <c r="AA977" s="67"/>
      <c r="AB977" s="30"/>
      <c r="AC977" s="30"/>
      <c r="AD977" s="30"/>
      <c r="AE977" s="67"/>
      <c r="AF977" s="30"/>
      <c r="AG977" s="30"/>
      <c r="AH977" s="30"/>
      <c r="AI977" s="30"/>
      <c r="AJ977" s="30"/>
      <c r="AK977" s="30"/>
      <c r="AL977" s="30"/>
      <c r="AM977" s="30"/>
      <c r="AN977" s="30"/>
      <c r="AO977" s="5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  <c r="BD977" s="30"/>
      <c r="BE977" s="30"/>
      <c r="BF977" s="30"/>
      <c r="BG977" s="30"/>
      <c r="BH977" s="30"/>
      <c r="BI977" s="30"/>
    </row>
    <row r="978" spans="1:61" ht="15.5" x14ac:dyDescent="0.35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58"/>
      <c r="Z978" s="30"/>
      <c r="AA978" s="67"/>
      <c r="AB978" s="30"/>
      <c r="AC978" s="30"/>
      <c r="AD978" s="30"/>
      <c r="AE978" s="67"/>
      <c r="AF978" s="30"/>
      <c r="AG978" s="30"/>
      <c r="AH978" s="30"/>
      <c r="AI978" s="30"/>
      <c r="AJ978" s="30"/>
      <c r="AK978" s="30"/>
      <c r="AL978" s="30"/>
      <c r="AM978" s="30"/>
      <c r="AN978" s="30"/>
      <c r="AO978" s="5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  <c r="BD978" s="30"/>
      <c r="BE978" s="30"/>
      <c r="BF978" s="30"/>
      <c r="BG978" s="30"/>
      <c r="BH978" s="30"/>
      <c r="BI978" s="30"/>
    </row>
    <row r="979" spans="1:61" ht="15.5" x14ac:dyDescent="0.35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58"/>
      <c r="Z979" s="30"/>
      <c r="AA979" s="67"/>
      <c r="AB979" s="30"/>
      <c r="AC979" s="30"/>
      <c r="AD979" s="30"/>
      <c r="AE979" s="67"/>
      <c r="AF979" s="30"/>
      <c r="AG979" s="30"/>
      <c r="AH979" s="30"/>
      <c r="AI979" s="30"/>
      <c r="AJ979" s="30"/>
      <c r="AK979" s="30"/>
      <c r="AL979" s="30"/>
      <c r="AM979" s="30"/>
      <c r="AN979" s="30"/>
      <c r="AO979" s="5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</row>
    <row r="980" spans="1:61" ht="15.5" x14ac:dyDescent="0.35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58"/>
      <c r="Z980" s="30"/>
      <c r="AA980" s="67"/>
      <c r="AB980" s="30"/>
      <c r="AC980" s="30"/>
      <c r="AD980" s="30"/>
      <c r="AE980" s="67"/>
      <c r="AF980" s="30"/>
      <c r="AG980" s="30"/>
      <c r="AH980" s="30"/>
      <c r="AI980" s="30"/>
      <c r="AJ980" s="30"/>
      <c r="AK980" s="30"/>
      <c r="AL980" s="30"/>
      <c r="AM980" s="30"/>
      <c r="AN980" s="30"/>
      <c r="AO980" s="5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0"/>
      <c r="BF980" s="30"/>
      <c r="BG980" s="30"/>
      <c r="BH980" s="30"/>
      <c r="BI980" s="30"/>
    </row>
    <row r="981" spans="1:61" ht="15.5" x14ac:dyDescent="0.35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58"/>
      <c r="Z981" s="30"/>
      <c r="AA981" s="67"/>
      <c r="AB981" s="30"/>
      <c r="AC981" s="30"/>
      <c r="AD981" s="30"/>
      <c r="AE981" s="67"/>
      <c r="AF981" s="30"/>
      <c r="AG981" s="30"/>
      <c r="AH981" s="30"/>
      <c r="AI981" s="30"/>
      <c r="AJ981" s="30"/>
      <c r="AK981" s="30"/>
      <c r="AL981" s="30"/>
      <c r="AM981" s="30"/>
      <c r="AN981" s="30"/>
      <c r="AO981" s="5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30"/>
      <c r="BI981" s="30"/>
    </row>
    <row r="982" spans="1:61" ht="15.5" x14ac:dyDescent="0.35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58"/>
      <c r="Z982" s="30"/>
      <c r="AA982" s="67"/>
      <c r="AB982" s="30"/>
      <c r="AC982" s="30"/>
      <c r="AD982" s="30"/>
      <c r="AE982" s="67"/>
      <c r="AF982" s="30"/>
      <c r="AG982" s="30"/>
      <c r="AH982" s="30"/>
      <c r="AI982" s="30"/>
      <c r="AJ982" s="30"/>
      <c r="AK982" s="30"/>
      <c r="AL982" s="30"/>
      <c r="AM982" s="30"/>
      <c r="AN982" s="30"/>
      <c r="AO982" s="5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30"/>
      <c r="BI982" s="30"/>
    </row>
    <row r="983" spans="1:61" ht="15.5" x14ac:dyDescent="0.35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58"/>
      <c r="Z983" s="30"/>
      <c r="AA983" s="67"/>
      <c r="AB983" s="30"/>
      <c r="AC983" s="30"/>
      <c r="AD983" s="30"/>
      <c r="AE983" s="67"/>
      <c r="AF983" s="30"/>
      <c r="AG983" s="30"/>
      <c r="AH983" s="30"/>
      <c r="AI983" s="30"/>
      <c r="AJ983" s="30"/>
      <c r="AK983" s="30"/>
      <c r="AL983" s="30"/>
      <c r="AM983" s="30"/>
      <c r="AN983" s="30"/>
      <c r="AO983" s="5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</row>
    <row r="984" spans="1:61" ht="15.5" x14ac:dyDescent="0.35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58"/>
      <c r="Z984" s="30"/>
      <c r="AA984" s="67"/>
      <c r="AB984" s="30"/>
      <c r="AC984" s="30"/>
      <c r="AD984" s="30"/>
      <c r="AE984" s="67"/>
      <c r="AF984" s="30"/>
      <c r="AG984" s="30"/>
      <c r="AH984" s="30"/>
      <c r="AI984" s="30"/>
      <c r="AJ984" s="30"/>
      <c r="AK984" s="30"/>
      <c r="AL984" s="30"/>
      <c r="AM984" s="30"/>
      <c r="AN984" s="30"/>
      <c r="AO984" s="5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30"/>
      <c r="BI984" s="30"/>
    </row>
    <row r="985" spans="1:61" ht="15.5" x14ac:dyDescent="0.3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58"/>
      <c r="Z985" s="30"/>
      <c r="AA985" s="67"/>
      <c r="AB985" s="30"/>
      <c r="AC985" s="30"/>
      <c r="AD985" s="30"/>
      <c r="AE985" s="67"/>
      <c r="AF985" s="30"/>
      <c r="AG985" s="30"/>
      <c r="AH985" s="30"/>
      <c r="AI985" s="30"/>
      <c r="AJ985" s="30"/>
      <c r="AK985" s="30"/>
      <c r="AL985" s="30"/>
      <c r="AM985" s="30"/>
      <c r="AN985" s="30"/>
      <c r="AO985" s="5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30"/>
      <c r="BI985" s="30"/>
    </row>
    <row r="986" spans="1:61" ht="15.5" x14ac:dyDescent="0.35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58"/>
      <c r="Z986" s="30"/>
      <c r="AA986" s="67"/>
      <c r="AB986" s="30"/>
      <c r="AC986" s="30"/>
      <c r="AD986" s="30"/>
      <c r="AE986" s="67"/>
      <c r="AF986" s="30"/>
      <c r="AG986" s="30"/>
      <c r="AH986" s="30"/>
      <c r="AI986" s="30"/>
      <c r="AJ986" s="30"/>
      <c r="AK986" s="30"/>
      <c r="AL986" s="30"/>
      <c r="AM986" s="30"/>
      <c r="AN986" s="30"/>
      <c r="AO986" s="5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</row>
    <row r="987" spans="1:61" ht="15.5" x14ac:dyDescent="0.35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58"/>
      <c r="Z987" s="30"/>
      <c r="AA987" s="67"/>
      <c r="AB987" s="30"/>
      <c r="AC987" s="30"/>
      <c r="AD987" s="30"/>
      <c r="AE987" s="67"/>
      <c r="AF987" s="30"/>
      <c r="AG987" s="30"/>
      <c r="AH987" s="30"/>
      <c r="AI987" s="30"/>
      <c r="AJ987" s="30"/>
      <c r="AK987" s="30"/>
      <c r="AL987" s="30"/>
      <c r="AM987" s="30"/>
      <c r="AN987" s="30"/>
      <c r="AO987" s="5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30"/>
      <c r="BI987" s="30"/>
    </row>
    <row r="988" spans="1:61" ht="15.5" x14ac:dyDescent="0.35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58"/>
      <c r="Z988" s="30"/>
      <c r="AA988" s="67"/>
      <c r="AB988" s="30"/>
      <c r="AC988" s="30"/>
      <c r="AD988" s="30"/>
      <c r="AE988" s="67"/>
      <c r="AF988" s="30"/>
      <c r="AG988" s="30"/>
      <c r="AH988" s="30"/>
      <c r="AI988" s="30"/>
      <c r="AJ988" s="30"/>
      <c r="AK988" s="30"/>
      <c r="AL988" s="30"/>
      <c r="AM988" s="30"/>
      <c r="AN988" s="30"/>
      <c r="AO988" s="5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30"/>
      <c r="BI988" s="30"/>
    </row>
    <row r="989" spans="1:61" ht="15.5" x14ac:dyDescent="0.35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58"/>
      <c r="Z989" s="30"/>
      <c r="AA989" s="67"/>
      <c r="AB989" s="30"/>
      <c r="AC989" s="30"/>
      <c r="AD989" s="30"/>
      <c r="AE989" s="67"/>
      <c r="AF989" s="30"/>
      <c r="AG989" s="30"/>
      <c r="AH989" s="30"/>
      <c r="AI989" s="30"/>
      <c r="AJ989" s="30"/>
      <c r="AK989" s="30"/>
      <c r="AL989" s="30"/>
      <c r="AM989" s="30"/>
      <c r="AN989" s="30"/>
      <c r="AO989" s="5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</row>
    <row r="990" spans="1:61" ht="15.5" x14ac:dyDescent="0.35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58"/>
      <c r="Z990" s="30"/>
      <c r="AA990" s="67"/>
      <c r="AB990" s="30"/>
      <c r="AC990" s="30"/>
      <c r="AD990" s="30"/>
      <c r="AE990" s="67"/>
      <c r="AF990" s="30"/>
      <c r="AG990" s="30"/>
      <c r="AH990" s="30"/>
      <c r="AI990" s="30"/>
      <c r="AJ990" s="30"/>
      <c r="AK990" s="30"/>
      <c r="AL990" s="30"/>
      <c r="AM990" s="30"/>
      <c r="AN990" s="30"/>
      <c r="AO990" s="5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</row>
    <row r="991" spans="1:61" ht="15.5" x14ac:dyDescent="0.35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58"/>
      <c r="Z991" s="30"/>
      <c r="AA991" s="67"/>
      <c r="AB991" s="30"/>
      <c r="AC991" s="30"/>
      <c r="AD991" s="30"/>
      <c r="AE991" s="67"/>
      <c r="AF991" s="30"/>
      <c r="AG991" s="30"/>
      <c r="AH991" s="30"/>
      <c r="AI991" s="30"/>
      <c r="AJ991" s="30"/>
      <c r="AK991" s="30"/>
      <c r="AL991" s="30"/>
      <c r="AM991" s="30"/>
      <c r="AN991" s="30"/>
      <c r="AO991" s="5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30"/>
      <c r="BI991" s="30"/>
    </row>
    <row r="992" spans="1:61" ht="15.5" x14ac:dyDescent="0.35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58"/>
      <c r="Z992" s="30"/>
      <c r="AA992" s="67"/>
      <c r="AB992" s="30"/>
      <c r="AC992" s="30"/>
      <c r="AD992" s="30"/>
      <c r="AE992" s="67"/>
      <c r="AF992" s="30"/>
      <c r="AG992" s="30"/>
      <c r="AH992" s="30"/>
      <c r="AI992" s="30"/>
      <c r="AJ992" s="30"/>
      <c r="AK992" s="30"/>
      <c r="AL992" s="30"/>
      <c r="AM992" s="30"/>
      <c r="AN992" s="30"/>
      <c r="AO992" s="5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  <c r="BD992" s="30"/>
      <c r="BE992" s="30"/>
      <c r="BF992" s="30"/>
      <c r="BG992" s="30"/>
      <c r="BH992" s="30"/>
      <c r="BI992" s="30"/>
    </row>
    <row r="993" spans="1:61" ht="15.5" x14ac:dyDescent="0.35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58"/>
      <c r="Z993" s="30"/>
      <c r="AA993" s="67"/>
      <c r="AB993" s="30"/>
      <c r="AC993" s="30"/>
      <c r="AD993" s="30"/>
      <c r="AE993" s="67"/>
      <c r="AF993" s="30"/>
      <c r="AG993" s="30"/>
      <c r="AH993" s="30"/>
      <c r="AI993" s="30"/>
      <c r="AJ993" s="30"/>
      <c r="AK993" s="30"/>
      <c r="AL993" s="30"/>
      <c r="AM993" s="30"/>
      <c r="AN993" s="30"/>
      <c r="AO993" s="5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30"/>
      <c r="BI993" s="30"/>
    </row>
    <row r="994" spans="1:61" ht="15.5" x14ac:dyDescent="0.35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58"/>
      <c r="Z994" s="30"/>
      <c r="AA994" s="67"/>
      <c r="AB994" s="30"/>
      <c r="AC994" s="30"/>
      <c r="AD994" s="30"/>
      <c r="AE994" s="67"/>
      <c r="AF994" s="30"/>
      <c r="AG994" s="30"/>
      <c r="AH994" s="30"/>
      <c r="AI994" s="30"/>
      <c r="AJ994" s="30"/>
      <c r="AK994" s="30"/>
      <c r="AL994" s="30"/>
      <c r="AM994" s="30"/>
      <c r="AN994" s="30"/>
      <c r="AO994" s="5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  <c r="BF994" s="30"/>
      <c r="BG994" s="30"/>
      <c r="BH994" s="30"/>
      <c r="BI994" s="30"/>
    </row>
    <row r="995" spans="1:61" ht="15.5" x14ac:dyDescent="0.3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58"/>
      <c r="Z995" s="30"/>
      <c r="AA995" s="67"/>
      <c r="AB995" s="30"/>
      <c r="AC995" s="30"/>
      <c r="AD995" s="30"/>
      <c r="AE995" s="67"/>
      <c r="AF995" s="30"/>
      <c r="AG995" s="30"/>
      <c r="AH995" s="30"/>
      <c r="AI995" s="30"/>
      <c r="AJ995" s="30"/>
      <c r="AK995" s="30"/>
      <c r="AL995" s="30"/>
      <c r="AM995" s="30"/>
      <c r="AN995" s="30"/>
      <c r="AO995" s="5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  <c r="BD995" s="30"/>
      <c r="BE995" s="30"/>
      <c r="BF995" s="30"/>
      <c r="BG995" s="30"/>
      <c r="BH995" s="30"/>
      <c r="BI995" s="30"/>
    </row>
    <row r="996" spans="1:61" ht="15.5" x14ac:dyDescent="0.35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58"/>
      <c r="Z996" s="30"/>
      <c r="AA996" s="67"/>
      <c r="AB996" s="30"/>
      <c r="AC996" s="30"/>
      <c r="AD996" s="30"/>
      <c r="AE996" s="67"/>
      <c r="AF996" s="30"/>
      <c r="AG996" s="30"/>
      <c r="AH996" s="30"/>
      <c r="AI996" s="30"/>
      <c r="AJ996" s="30"/>
      <c r="AK996" s="30"/>
      <c r="AL996" s="30"/>
      <c r="AM996" s="30"/>
      <c r="AN996" s="30"/>
      <c r="AO996" s="5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  <c r="BD996" s="30"/>
      <c r="BE996" s="30"/>
      <c r="BF996" s="30"/>
      <c r="BG996" s="30"/>
      <c r="BH996" s="30"/>
      <c r="BI996" s="30"/>
    </row>
    <row r="997" spans="1:61" ht="15.5" x14ac:dyDescent="0.35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58"/>
      <c r="Z997" s="30"/>
      <c r="AA997" s="67"/>
      <c r="AB997" s="30"/>
      <c r="AC997" s="30"/>
      <c r="AD997" s="30"/>
      <c r="AE997" s="67"/>
      <c r="AF997" s="30"/>
      <c r="AG997" s="30"/>
      <c r="AH997" s="30"/>
      <c r="AI997" s="30"/>
      <c r="AJ997" s="30"/>
      <c r="AK997" s="30"/>
      <c r="AL997" s="30"/>
      <c r="AM997" s="30"/>
      <c r="AN997" s="30"/>
      <c r="AO997" s="5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  <c r="BD997" s="30"/>
      <c r="BE997" s="30"/>
      <c r="BF997" s="30"/>
      <c r="BG997" s="30"/>
      <c r="BH997" s="30"/>
      <c r="BI997" s="30"/>
    </row>
    <row r="998" spans="1:61" ht="15.5" x14ac:dyDescent="0.35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58"/>
      <c r="Z998" s="30"/>
      <c r="AA998" s="67"/>
      <c r="AB998" s="30"/>
      <c r="AC998" s="30"/>
      <c r="AD998" s="30"/>
      <c r="AE998" s="67"/>
      <c r="AF998" s="30"/>
      <c r="AG998" s="30"/>
      <c r="AH998" s="30"/>
      <c r="AI998" s="30"/>
      <c r="AJ998" s="30"/>
      <c r="AK998" s="30"/>
      <c r="AL998" s="30"/>
      <c r="AM998" s="30"/>
      <c r="AN998" s="30"/>
      <c r="AO998" s="5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  <c r="BD998" s="30"/>
      <c r="BE998" s="30"/>
      <c r="BF998" s="30"/>
      <c r="BG998" s="30"/>
      <c r="BH998" s="30"/>
      <c r="BI998" s="30"/>
    </row>
    <row r="999" spans="1:61" ht="15.5" x14ac:dyDescent="0.35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58"/>
      <c r="Z999" s="30"/>
      <c r="AA999" s="67"/>
      <c r="AB999" s="30"/>
      <c r="AC999" s="30"/>
      <c r="AD999" s="30"/>
      <c r="AE999" s="67"/>
      <c r="AF999" s="30"/>
      <c r="AG999" s="30"/>
      <c r="AH999" s="30"/>
      <c r="AI999" s="30"/>
      <c r="AJ999" s="30"/>
      <c r="AK999" s="30"/>
      <c r="AL999" s="30"/>
      <c r="AM999" s="30"/>
      <c r="AN999" s="30"/>
      <c r="AO999" s="5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  <c r="BD999" s="30"/>
      <c r="BE999" s="30"/>
      <c r="BF999" s="30"/>
      <c r="BG999" s="30"/>
      <c r="BH999" s="30"/>
      <c r="BI999" s="3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Do Pham Ha Chi</cp:lastModifiedBy>
  <dcterms:created xsi:type="dcterms:W3CDTF">2015-06-05T18:17:20Z</dcterms:created>
  <dcterms:modified xsi:type="dcterms:W3CDTF">2026-03-22T15:32:55Z</dcterms:modified>
</cp:coreProperties>
</file>